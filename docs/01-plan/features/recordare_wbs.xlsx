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ohen\Downloads\"/>
    </mc:Choice>
  </mc:AlternateContent>
  <xr:revisionPtr revIDLastSave="0" documentId="13_ncr:1_{6D68CA5E-A072-4906-9AD1-34397E40406D}" xr6:coauthVersionLast="47" xr6:coauthVersionMax="47" xr10:uidLastSave="{00000000-0000-0000-0000-000000000000}"/>
  <bookViews>
    <workbookView xWindow="13032" yWindow="852" windowWidth="24528" windowHeight="24444" tabRatio="500" xr2:uid="{00000000-000D-0000-FFFF-FFFF00000000}"/>
  </bookViews>
  <sheets>
    <sheet name="개요" sheetId="1" r:id="rId1"/>
    <sheet name="투입인력" sheetId="2" r:id="rId2"/>
    <sheet name="WBS" sheetId="3" r:id="rId3"/>
    <sheet name="간트차트" sheetId="4" r:id="rId4"/>
    <sheet name="마일스톤·추적" sheetId="5" r:id="rId5"/>
  </sheets>
  <definedNames>
    <definedName name="_xlnm.Print_Area" localSheetId="3">간트차트!$A$1:$AD$67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3" i="4" l="1"/>
  <c r="C63" i="4"/>
  <c r="B63" i="4"/>
  <c r="A63" i="4"/>
  <c r="D62" i="4"/>
  <c r="C62" i="4"/>
  <c r="B62" i="4"/>
  <c r="A62" i="4"/>
  <c r="D61" i="4"/>
  <c r="C61" i="4"/>
  <c r="B61" i="4"/>
  <c r="A61" i="4"/>
  <c r="D60" i="4"/>
  <c r="C60" i="4"/>
  <c r="B60" i="4"/>
  <c r="A60" i="4"/>
  <c r="D59" i="4"/>
  <c r="C59" i="4"/>
  <c r="B59" i="4"/>
  <c r="A59" i="4"/>
  <c r="D58" i="4"/>
  <c r="C58" i="4"/>
  <c r="B58" i="4"/>
  <c r="A58" i="4"/>
  <c r="D57" i="4"/>
  <c r="C57" i="4"/>
  <c r="B57" i="4"/>
  <c r="A57" i="4"/>
  <c r="D56" i="4"/>
  <c r="C56" i="4"/>
  <c r="B56" i="4"/>
  <c r="A56" i="4"/>
  <c r="D55" i="4"/>
  <c r="C55" i="4"/>
  <c r="B55" i="4"/>
  <c r="A55" i="4"/>
  <c r="D54" i="4"/>
  <c r="C54" i="4"/>
  <c r="B54" i="4"/>
  <c r="A54" i="4"/>
  <c r="D53" i="4"/>
  <c r="C53" i="4"/>
  <c r="B53" i="4"/>
  <c r="A53" i="4"/>
  <c r="D52" i="4"/>
  <c r="C52" i="4"/>
  <c r="B52" i="4"/>
  <c r="A52" i="4"/>
  <c r="D51" i="4"/>
  <c r="C51" i="4"/>
  <c r="B51" i="4"/>
  <c r="A51" i="4"/>
  <c r="D50" i="4"/>
  <c r="C50" i="4"/>
  <c r="B50" i="4"/>
  <c r="A50" i="4"/>
  <c r="D49" i="4"/>
  <c r="C49" i="4"/>
  <c r="B49" i="4"/>
  <c r="A49" i="4"/>
  <c r="D48" i="4"/>
  <c r="C48" i="4"/>
  <c r="B48" i="4"/>
  <c r="A48" i="4"/>
  <c r="D47" i="4"/>
  <c r="C47" i="4"/>
  <c r="B47" i="4"/>
  <c r="A47" i="4"/>
  <c r="D46" i="4"/>
  <c r="C46" i="4"/>
  <c r="B46" i="4"/>
  <c r="A46" i="4"/>
  <c r="D45" i="4"/>
  <c r="C45" i="4"/>
  <c r="B45" i="4"/>
  <c r="A45" i="4"/>
  <c r="D44" i="4"/>
  <c r="C44" i="4"/>
  <c r="B44" i="4"/>
  <c r="A44" i="4"/>
  <c r="D43" i="4"/>
  <c r="C43" i="4"/>
  <c r="B43" i="4"/>
  <c r="A43" i="4"/>
  <c r="D42" i="4"/>
  <c r="C42" i="4"/>
  <c r="B42" i="4"/>
  <c r="A42" i="4"/>
  <c r="D41" i="4"/>
  <c r="C41" i="4"/>
  <c r="B41" i="4"/>
  <c r="A41" i="4"/>
  <c r="D40" i="4"/>
  <c r="C40" i="4"/>
  <c r="B40" i="4"/>
  <c r="A40" i="4"/>
  <c r="D39" i="4"/>
  <c r="C39" i="4"/>
  <c r="B39" i="4"/>
  <c r="A39" i="4"/>
  <c r="D38" i="4"/>
  <c r="C38" i="4"/>
  <c r="B38" i="4"/>
  <c r="A38" i="4"/>
  <c r="D37" i="4"/>
  <c r="C37" i="4"/>
  <c r="B37" i="4"/>
  <c r="A37" i="4"/>
  <c r="D36" i="4"/>
  <c r="C36" i="4"/>
  <c r="B36" i="4"/>
  <c r="A36" i="4"/>
  <c r="D35" i="4"/>
  <c r="C35" i="4"/>
  <c r="B35" i="4"/>
  <c r="A35" i="4"/>
  <c r="D34" i="4"/>
  <c r="C34" i="4"/>
  <c r="B34" i="4"/>
  <c r="A34" i="4"/>
  <c r="D33" i="4"/>
  <c r="C33" i="4"/>
  <c r="B33" i="4"/>
  <c r="A33" i="4"/>
  <c r="D32" i="4"/>
  <c r="C32" i="4"/>
  <c r="B32" i="4"/>
  <c r="A32" i="4"/>
  <c r="D31" i="4"/>
  <c r="C31" i="4"/>
  <c r="B31" i="4"/>
  <c r="A31" i="4"/>
  <c r="D30" i="4"/>
  <c r="C30" i="4"/>
  <c r="B30" i="4"/>
  <c r="A30" i="4"/>
  <c r="D29" i="4"/>
  <c r="C29" i="4"/>
  <c r="B29" i="4"/>
  <c r="A29" i="4"/>
  <c r="D28" i="4"/>
  <c r="C28" i="4"/>
  <c r="B28" i="4"/>
  <c r="A28" i="4"/>
  <c r="D27" i="4"/>
  <c r="C27" i="4"/>
  <c r="B27" i="4"/>
  <c r="A27" i="4"/>
  <c r="D26" i="4"/>
  <c r="C26" i="4"/>
  <c r="B26" i="4"/>
  <c r="A26" i="4"/>
  <c r="D25" i="4"/>
  <c r="C25" i="4"/>
  <c r="B25" i="4"/>
  <c r="A25" i="4"/>
  <c r="D24" i="4"/>
  <c r="C24" i="4"/>
  <c r="B24" i="4"/>
  <c r="A24" i="4"/>
  <c r="D23" i="4"/>
  <c r="C23" i="4"/>
  <c r="B23" i="4"/>
  <c r="A23" i="4"/>
  <c r="D22" i="4"/>
  <c r="C22" i="4"/>
  <c r="B22" i="4"/>
  <c r="A22" i="4"/>
  <c r="D21" i="4"/>
  <c r="C21" i="4"/>
  <c r="B21" i="4"/>
  <c r="A21" i="4"/>
  <c r="D20" i="4"/>
  <c r="C20" i="4"/>
  <c r="B20" i="4"/>
  <c r="A20" i="4"/>
  <c r="D19" i="4"/>
  <c r="C19" i="4"/>
  <c r="B19" i="4"/>
  <c r="A19" i="4"/>
  <c r="D18" i="4"/>
  <c r="C18" i="4"/>
  <c r="B18" i="4"/>
  <c r="A18" i="4"/>
  <c r="D17" i="4"/>
  <c r="C17" i="4"/>
  <c r="B17" i="4"/>
  <c r="A17" i="4"/>
  <c r="D16" i="4"/>
  <c r="C16" i="4"/>
  <c r="B16" i="4"/>
  <c r="A16" i="4"/>
  <c r="D15" i="4"/>
  <c r="C15" i="4"/>
  <c r="B15" i="4"/>
  <c r="A15" i="4"/>
  <c r="D14" i="4"/>
  <c r="C14" i="4"/>
  <c r="B14" i="4"/>
  <c r="A14" i="4"/>
  <c r="D13" i="4"/>
  <c r="C13" i="4"/>
  <c r="B13" i="4"/>
  <c r="A13" i="4"/>
  <c r="D12" i="4"/>
  <c r="C12" i="4"/>
  <c r="B12" i="4"/>
  <c r="A12" i="4"/>
  <c r="D11" i="4"/>
  <c r="C11" i="4"/>
  <c r="B11" i="4"/>
  <c r="A11" i="4"/>
  <c r="D10" i="4"/>
  <c r="C10" i="4"/>
  <c r="B10" i="4"/>
  <c r="A10" i="4"/>
  <c r="D9" i="4"/>
  <c r="C9" i="4"/>
  <c r="B9" i="4"/>
  <c r="A9" i="4"/>
  <c r="D8" i="4"/>
  <c r="C8" i="4"/>
  <c r="B8" i="4"/>
  <c r="A8" i="4"/>
  <c r="D7" i="4"/>
  <c r="C7" i="4"/>
  <c r="B7" i="4"/>
  <c r="A7" i="4"/>
  <c r="D6" i="4"/>
  <c r="C6" i="4"/>
  <c r="B6" i="4"/>
  <c r="A6" i="4"/>
  <c r="D5" i="4"/>
  <c r="C5" i="4"/>
  <c r="B5" i="4"/>
  <c r="A5" i="4"/>
  <c r="F4" i="4"/>
  <c r="G4" i="4" s="1"/>
  <c r="H4" i="4" s="1"/>
  <c r="I4" i="4" s="1"/>
  <c r="J4" i="4" s="1"/>
  <c r="K4" i="4" s="1"/>
  <c r="L4" i="4" s="1"/>
  <c r="M4" i="4" s="1"/>
  <c r="N4" i="4" s="1"/>
  <c r="O4" i="4" s="1"/>
  <c r="P4" i="4" s="1"/>
  <c r="Q4" i="4" s="1"/>
  <c r="R4" i="4" s="1"/>
  <c r="S4" i="4" s="1"/>
  <c r="T4" i="4" s="1"/>
  <c r="U4" i="4" s="1"/>
  <c r="V4" i="4" s="1"/>
  <c r="W4" i="4" s="1"/>
  <c r="X4" i="4" s="1"/>
  <c r="Y4" i="4" s="1"/>
  <c r="Z4" i="4" s="1"/>
  <c r="AA4" i="4" s="1"/>
  <c r="AB4" i="4" s="1"/>
  <c r="AC4" i="4" s="1"/>
  <c r="AD4" i="4" s="1"/>
  <c r="B2" i="4"/>
  <c r="M64" i="3"/>
  <c r="L64" i="3"/>
  <c r="J64" i="3"/>
  <c r="H64" i="3"/>
  <c r="L63" i="3"/>
  <c r="K63" i="3"/>
  <c r="E63" i="4" s="1"/>
  <c r="L62" i="3"/>
  <c r="K62" i="3"/>
  <c r="E62" i="4" s="1"/>
  <c r="L61" i="3"/>
  <c r="K61" i="3"/>
  <c r="E61" i="4" s="1"/>
  <c r="L60" i="3"/>
  <c r="K60" i="3"/>
  <c r="E60" i="4" s="1"/>
  <c r="L59" i="3"/>
  <c r="K59" i="3"/>
  <c r="E59" i="4" s="1"/>
  <c r="L58" i="3"/>
  <c r="K58" i="3"/>
  <c r="E58" i="4" s="1"/>
  <c r="L57" i="3"/>
  <c r="K57" i="3"/>
  <c r="E57" i="4" s="1"/>
  <c r="L56" i="3"/>
  <c r="K56" i="3"/>
  <c r="E56" i="4" s="1"/>
  <c r="L55" i="3"/>
  <c r="K55" i="3"/>
  <c r="E55" i="4" s="1"/>
  <c r="L54" i="3"/>
  <c r="K54" i="3"/>
  <c r="E54" i="4" s="1"/>
  <c r="L53" i="3"/>
  <c r="K53" i="3"/>
  <c r="E53" i="4" s="1"/>
  <c r="L52" i="3"/>
  <c r="K52" i="3"/>
  <c r="E52" i="4" s="1"/>
  <c r="L51" i="3"/>
  <c r="K51" i="3"/>
  <c r="E51" i="4" s="1"/>
  <c r="L50" i="3"/>
  <c r="K50" i="3"/>
  <c r="E50" i="4" s="1"/>
  <c r="L49" i="3"/>
  <c r="K49" i="3"/>
  <c r="E49" i="4" s="1"/>
  <c r="L48" i="3"/>
  <c r="K48" i="3"/>
  <c r="E48" i="4" s="1"/>
  <c r="L47" i="3"/>
  <c r="K47" i="3"/>
  <c r="E47" i="4" s="1"/>
  <c r="L46" i="3"/>
  <c r="K46" i="3"/>
  <c r="E46" i="4" s="1"/>
  <c r="L45" i="3"/>
  <c r="K45" i="3"/>
  <c r="E45" i="4" s="1"/>
  <c r="L44" i="3"/>
  <c r="K44" i="3"/>
  <c r="E44" i="4" s="1"/>
  <c r="L43" i="3"/>
  <c r="K43" i="3"/>
  <c r="E43" i="4" s="1"/>
  <c r="L42" i="3"/>
  <c r="K42" i="3"/>
  <c r="E42" i="4" s="1"/>
  <c r="L41" i="3"/>
  <c r="K41" i="3"/>
  <c r="E41" i="4" s="1"/>
  <c r="L40" i="3"/>
  <c r="K40" i="3"/>
  <c r="E40" i="4" s="1"/>
  <c r="L39" i="3"/>
  <c r="K39" i="3"/>
  <c r="E39" i="4" s="1"/>
  <c r="L38" i="3"/>
  <c r="K38" i="3"/>
  <c r="E38" i="4" s="1"/>
  <c r="L37" i="3"/>
  <c r="K37" i="3"/>
  <c r="E37" i="4" s="1"/>
  <c r="L36" i="3"/>
  <c r="K36" i="3"/>
  <c r="E36" i="4" s="1"/>
  <c r="L35" i="3"/>
  <c r="K35" i="3"/>
  <c r="E35" i="4" s="1"/>
  <c r="L34" i="3"/>
  <c r="K34" i="3"/>
  <c r="E34" i="4" s="1"/>
  <c r="L33" i="3"/>
  <c r="K33" i="3"/>
  <c r="E33" i="4" s="1"/>
  <c r="L32" i="3"/>
  <c r="K32" i="3"/>
  <c r="E32" i="4" s="1"/>
  <c r="L31" i="3"/>
  <c r="K31" i="3"/>
  <c r="E31" i="4" s="1"/>
  <c r="L30" i="3"/>
  <c r="K30" i="3"/>
  <c r="E30" i="4" s="1"/>
  <c r="L29" i="3"/>
  <c r="K29" i="3"/>
  <c r="E29" i="4" s="1"/>
  <c r="L28" i="3"/>
  <c r="K28" i="3"/>
  <c r="E28" i="4" s="1"/>
  <c r="L27" i="3"/>
  <c r="K27" i="3"/>
  <c r="E27" i="4" s="1"/>
  <c r="L26" i="3"/>
  <c r="K26" i="3"/>
  <c r="E26" i="4" s="1"/>
  <c r="L25" i="3"/>
  <c r="K25" i="3"/>
  <c r="E25" i="4" s="1"/>
  <c r="L24" i="3"/>
  <c r="K24" i="3"/>
  <c r="E24" i="4" s="1"/>
  <c r="L23" i="3"/>
  <c r="K23" i="3"/>
  <c r="E23" i="4" s="1"/>
  <c r="L22" i="3"/>
  <c r="K22" i="3"/>
  <c r="E22" i="4" s="1"/>
  <c r="L21" i="3"/>
  <c r="K21" i="3"/>
  <c r="E21" i="4" s="1"/>
  <c r="L20" i="3"/>
  <c r="K20" i="3"/>
  <c r="E20" i="4" s="1"/>
  <c r="L19" i="3"/>
  <c r="K19" i="3"/>
  <c r="E19" i="4" s="1"/>
  <c r="L18" i="3"/>
  <c r="K18" i="3"/>
  <c r="E18" i="4" s="1"/>
  <c r="L17" i="3"/>
  <c r="K17" i="3"/>
  <c r="E17" i="4" s="1"/>
  <c r="L16" i="3"/>
  <c r="K16" i="3"/>
  <c r="E16" i="4" s="1"/>
  <c r="L15" i="3"/>
  <c r="K15" i="3"/>
  <c r="E15" i="4" s="1"/>
  <c r="L14" i="3"/>
  <c r="K14" i="3"/>
  <c r="E14" i="4" s="1"/>
  <c r="L13" i="3"/>
  <c r="K13" i="3"/>
  <c r="E13" i="4" s="1"/>
  <c r="L12" i="3"/>
  <c r="K12" i="3"/>
  <c r="E12" i="4" s="1"/>
  <c r="L11" i="3"/>
  <c r="K11" i="3"/>
  <c r="E11" i="4" s="1"/>
  <c r="L10" i="3"/>
  <c r="K10" i="3"/>
  <c r="E10" i="4" s="1"/>
  <c r="L9" i="3"/>
  <c r="K9" i="3"/>
  <c r="E9" i="4" s="1"/>
  <c r="L8" i="3"/>
  <c r="K8" i="3"/>
  <c r="E8" i="4" s="1"/>
  <c r="L7" i="3"/>
  <c r="K7" i="3"/>
  <c r="E7" i="4" s="1"/>
  <c r="L6" i="3"/>
  <c r="K6" i="3"/>
  <c r="E6" i="4" s="1"/>
  <c r="L5" i="3"/>
  <c r="K5" i="3"/>
  <c r="E5" i="4" s="1"/>
  <c r="K64" i="3" l="1"/>
</calcChain>
</file>

<file path=xl/sharedStrings.xml><?xml version="1.0" encoding="utf-8"?>
<sst xmlns="http://schemas.openxmlformats.org/spreadsheetml/2006/main" count="868" uniqueCount="594">
  <si>
    <t>Recordare WBS — MVP Beta</t>
  </si>
  <si>
    <r>
      <rPr>
        <sz val="10"/>
        <color rgb="FFFFFFFF"/>
        <rFont val="맑은 고딕"/>
        <family val="3"/>
        <charset val="129"/>
      </rPr>
      <t>MVP Beta M3~M6 · 16</t>
    </r>
    <r>
      <rPr>
        <sz val="10"/>
        <color rgb="FFFFFFFF"/>
        <rFont val="Noto Sans CJK SC"/>
        <family val="2"/>
      </rPr>
      <t xml:space="preserve">주 </t>
    </r>
    <r>
      <rPr>
        <sz val="10"/>
        <color rgb="FFFFFFFF"/>
        <rFont val="맑은 고딕"/>
        <family val="3"/>
        <charset val="129"/>
      </rPr>
      <t>· 28</t>
    </r>
    <r>
      <rPr>
        <sz val="10"/>
        <color rgb="FFFFFFFF"/>
        <rFont val="Noto Sans CJK SC"/>
        <family val="2"/>
      </rPr>
      <t xml:space="preserve">개 </t>
    </r>
    <r>
      <rPr>
        <sz val="10"/>
        <color rgb="FFFFFFFF"/>
        <rFont val="맑은 고딕"/>
        <family val="3"/>
        <charset val="129"/>
      </rPr>
      <t>FR + 7</t>
    </r>
    <r>
      <rPr>
        <sz val="10"/>
        <color rgb="FFFFFFFF"/>
        <rFont val="Noto Sans CJK SC"/>
        <family val="2"/>
      </rPr>
      <t xml:space="preserve">개 </t>
    </r>
    <r>
      <rPr>
        <sz val="10"/>
        <color rgb="FFFFFFFF"/>
        <rFont val="맑은 고딕"/>
        <family val="3"/>
        <charset val="129"/>
      </rPr>
      <t xml:space="preserve">NFR · </t>
    </r>
    <r>
      <rPr>
        <sz val="10"/>
        <color rgb="FFFFFFFF"/>
        <rFont val="Noto Sans CJK SC"/>
        <family val="2"/>
      </rPr>
      <t xml:space="preserve">시범 시설 </t>
    </r>
    <r>
      <rPr>
        <sz val="10"/>
        <color rgb="FFFFFFFF"/>
        <rFont val="맑은 고딕"/>
        <family val="3"/>
        <charset val="129"/>
      </rPr>
      <t>8</t>
    </r>
    <r>
      <rPr>
        <sz val="10"/>
        <color rgb="FFFFFFFF"/>
        <rFont val="Noto Sans CJK SC"/>
        <family val="2"/>
      </rPr>
      <t xml:space="preserve">곳 </t>
    </r>
    <r>
      <rPr>
        <sz val="10"/>
        <color rgb="FFFFFFFF"/>
        <rFont val="맑은 고딕"/>
        <family val="3"/>
        <charset val="129"/>
      </rPr>
      <t xml:space="preserve">/ </t>
    </r>
    <r>
      <rPr>
        <sz val="10"/>
        <color rgb="FFFFFFFF"/>
        <rFont val="Noto Sans CJK SC"/>
        <family val="2"/>
      </rPr>
      <t xml:space="preserve">보호자 </t>
    </r>
    <r>
      <rPr>
        <sz val="10"/>
        <color rgb="FFFFFFFF"/>
        <rFont val="맑은 고딕"/>
        <family val="3"/>
        <charset val="129"/>
      </rPr>
      <t>100</t>
    </r>
    <r>
      <rPr>
        <sz val="10"/>
        <color rgb="FFFFFFFF"/>
        <rFont val="Noto Sans CJK SC"/>
        <family val="2"/>
      </rPr>
      <t xml:space="preserve">명 </t>
    </r>
    <r>
      <rPr>
        <sz val="10"/>
        <color rgb="FFFFFFFF"/>
        <rFont val="맑은 고딕"/>
        <family val="3"/>
        <charset val="129"/>
      </rPr>
      <t xml:space="preserve">/ </t>
    </r>
    <r>
      <rPr>
        <sz val="10"/>
        <color rgb="FFFFFFFF"/>
        <rFont val="Noto Sans CJK SC"/>
        <family val="2"/>
      </rPr>
      <t xml:space="preserve">활동지원사 </t>
    </r>
    <r>
      <rPr>
        <sz val="10"/>
        <color rgb="FFFFFFFF"/>
        <rFont val="맑은 고딕"/>
        <family val="3"/>
        <charset val="129"/>
      </rPr>
      <t>50</t>
    </r>
    <r>
      <rPr>
        <sz val="10"/>
        <color rgb="FFFFFFFF"/>
        <rFont val="Noto Sans CJK SC"/>
        <family val="2"/>
      </rPr>
      <t xml:space="preserve">명 </t>
    </r>
    <r>
      <rPr>
        <sz val="10"/>
        <color rgb="FFFFFFFF"/>
        <rFont val="맑은 고딕"/>
        <family val="3"/>
        <charset val="129"/>
      </rPr>
      <t xml:space="preserve">/ </t>
    </r>
    <r>
      <rPr>
        <sz val="10"/>
        <color rgb="FFFFFFFF"/>
        <rFont val="Noto Sans CJK SC"/>
        <family val="2"/>
      </rPr>
      <t xml:space="preserve">일반교사 </t>
    </r>
    <r>
      <rPr>
        <sz val="10"/>
        <color rgb="FFFFFFFF"/>
        <rFont val="맑은 고딕"/>
        <family val="3"/>
        <charset val="129"/>
      </rPr>
      <t>25</t>
    </r>
    <r>
      <rPr>
        <sz val="10"/>
        <color rgb="FFFFFFFF"/>
        <rFont val="Noto Sans CJK SC"/>
        <family val="2"/>
      </rPr>
      <t>명</t>
    </r>
  </si>
  <si>
    <r>
      <rPr>
        <b/>
        <sz val="11"/>
        <color rgb="FFFFFFFF"/>
        <rFont val="맑은 고딕"/>
        <family val="3"/>
        <charset val="129"/>
      </rPr>
      <t xml:space="preserve">1. MVP Beta </t>
    </r>
    <r>
      <rPr>
        <b/>
        <sz val="11"/>
        <color rgb="FFFFFFFF"/>
        <rFont val="Noto Sans CJK SC"/>
        <family val="2"/>
      </rPr>
      <t>포함 범위</t>
    </r>
  </si>
  <si>
    <t>그룹</t>
  </si>
  <si>
    <t>포함 기능</t>
  </si>
  <si>
    <t>기록 코어</t>
  </si>
  <si>
    <t>계정, 권한 매트릭스, 빠른 선택 일지, 사진 기록, 통합 타임라인, 3분 인계서</t>
  </si>
  <si>
    <t>접근성·당사자 UI</t>
  </si>
  <si>
    <r>
      <rPr>
        <sz val="9"/>
        <color rgb="FF000000"/>
        <rFont val="맑은 고딕"/>
        <family val="3"/>
        <charset val="129"/>
      </rPr>
      <t xml:space="preserve">AAC </t>
    </r>
    <r>
      <rPr>
        <sz val="9"/>
        <color rgb="FF000000"/>
        <rFont val="Noto Sans CJK SC"/>
        <family val="2"/>
      </rPr>
      <t>동의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쉬운말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큰글씨</t>
    </r>
    <r>
      <rPr>
        <sz val="9"/>
        <color rgb="FF000000"/>
        <rFont val="맑은 고딕"/>
        <family val="3"/>
        <charset val="129"/>
      </rPr>
      <t>, TTS, 2</t>
    </r>
    <r>
      <rPr>
        <sz val="9"/>
        <color rgb="FF000000"/>
        <rFont val="Noto Sans CJK SC"/>
        <family val="2"/>
      </rPr>
      <t>단계 확인</t>
    </r>
  </si>
  <si>
    <t>자가진단</t>
  </si>
  <si>
    <r>
      <rPr>
        <sz val="9"/>
        <color rgb="FF000000"/>
        <rFont val="맑은 고딕"/>
        <family val="3"/>
        <charset val="129"/>
      </rPr>
      <t xml:space="preserve">K-DST, M-CHAT-R, AI </t>
    </r>
    <r>
      <rPr>
        <sz val="9"/>
        <color rgb="FF000000"/>
        <rFont val="Noto Sans CJK SC"/>
        <family val="2"/>
      </rPr>
      <t>추이 분석</t>
    </r>
    <r>
      <rPr>
        <sz val="9"/>
        <color rgb="FF000000"/>
        <rFont val="맑은 고딕"/>
        <family val="3"/>
        <charset val="129"/>
      </rPr>
      <t xml:space="preserve">, FR-68 </t>
    </r>
    <r>
      <rPr>
        <sz val="9"/>
        <color rgb="FF000000"/>
        <rFont val="Noto Sans CJK SC"/>
        <family val="2"/>
      </rPr>
      <t>면책</t>
    </r>
  </si>
  <si>
    <r>
      <rPr>
        <sz val="9"/>
        <color rgb="FF000000"/>
        <rFont val="맑은 고딕"/>
        <family val="3"/>
        <charset val="129"/>
      </rPr>
      <t xml:space="preserve">v2.4 </t>
    </r>
    <r>
      <rPr>
        <sz val="9"/>
        <color rgb="FF000000"/>
        <rFont val="Noto Sans CJK SC"/>
        <family val="2"/>
      </rPr>
      <t>신규</t>
    </r>
  </si>
  <si>
    <r>
      <rPr>
        <sz val="9"/>
        <color rgb="FF000000"/>
        <rFont val="맑은 고딕"/>
        <family val="3"/>
        <charset val="129"/>
      </rPr>
      <t xml:space="preserve">FR-69 </t>
    </r>
    <r>
      <rPr>
        <sz val="9"/>
        <color rgb="FF000000"/>
        <rFont val="Noto Sans CJK SC"/>
        <family val="2"/>
      </rPr>
      <t xml:space="preserve">다중 입력 </t>
    </r>
    <r>
      <rPr>
        <sz val="9"/>
        <color rgb="FF000000"/>
        <rFont val="맑은 고딕"/>
        <family val="3"/>
        <charset val="129"/>
      </rPr>
      <t>4</t>
    </r>
    <r>
      <rPr>
        <sz val="9"/>
        <color rgb="FF000000"/>
        <rFont val="Noto Sans CJK SC"/>
        <family val="2"/>
      </rPr>
      <t>종</t>
    </r>
    <r>
      <rPr>
        <sz val="9"/>
        <color rgb="FF000000"/>
        <rFont val="맑은 고딕"/>
        <family val="3"/>
        <charset val="129"/>
      </rPr>
      <t xml:space="preserve">, FR-71 </t>
    </r>
    <r>
      <rPr>
        <sz val="9"/>
        <color rgb="FF000000"/>
        <rFont val="Noto Sans CJK SC"/>
        <family val="2"/>
      </rPr>
      <t>후견인 얼굴 인증</t>
    </r>
    <r>
      <rPr>
        <sz val="9"/>
        <color rgb="FF000000"/>
        <rFont val="맑은 고딕"/>
        <family val="3"/>
        <charset val="129"/>
      </rPr>
      <t xml:space="preserve">, U6 </t>
    </r>
    <r>
      <rPr>
        <sz val="9"/>
        <color rgb="FF000000"/>
        <rFont val="Noto Sans CJK SC"/>
        <family val="2"/>
      </rPr>
      <t>일반교사 화면</t>
    </r>
  </si>
  <si>
    <t>보안·컴플라이언스</t>
  </si>
  <si>
    <t>민감정보 분리 동의, 암호화, Audit Log, 의료법 안전 고지</t>
  </si>
  <si>
    <t>프로토타입</t>
  </si>
  <si>
    <r>
      <rPr>
        <sz val="9"/>
        <color rgb="FF000000"/>
        <rFont val="맑은 고딕"/>
        <family val="3"/>
        <charset val="129"/>
      </rPr>
      <t xml:space="preserve">Next.js </t>
    </r>
    <r>
      <rPr>
        <sz val="9"/>
        <color rgb="FF000000"/>
        <rFont val="Noto Sans CJK SC"/>
        <family val="2"/>
      </rPr>
      <t>화면 흐름</t>
    </r>
    <r>
      <rPr>
        <sz val="9"/>
        <color rgb="FF000000"/>
        <rFont val="맑은 고딕"/>
        <family val="3"/>
        <charset val="129"/>
      </rPr>
      <t xml:space="preserve">, mock data, </t>
    </r>
    <r>
      <rPr>
        <sz val="9"/>
        <color rgb="FF000000"/>
        <rFont val="Noto Sans CJK SC"/>
        <family val="2"/>
      </rPr>
      <t>역할별 라우팅</t>
    </r>
  </si>
  <si>
    <r>
      <rPr>
        <b/>
        <sz val="11"/>
        <color rgb="FFFFFFFF"/>
        <rFont val="맑은 고딕"/>
        <family val="3"/>
        <charset val="129"/>
      </rPr>
      <t xml:space="preserve">2. </t>
    </r>
    <r>
      <rPr>
        <b/>
        <sz val="11"/>
        <color rgb="FFFFFFFF"/>
        <rFont val="Noto Sans CJK SC"/>
        <family val="2"/>
      </rPr>
      <t>제외</t>
    </r>
    <r>
      <rPr>
        <b/>
        <sz val="11"/>
        <color rgb="FFFFFFFF"/>
        <rFont val="맑은 고딕"/>
        <family val="3"/>
        <charset val="129"/>
      </rPr>
      <t>/</t>
    </r>
    <r>
      <rPr>
        <b/>
        <sz val="11"/>
        <color rgb="FFFFFFFF"/>
        <rFont val="Noto Sans CJK SC"/>
        <family val="2"/>
      </rPr>
      <t>이연 범위</t>
    </r>
  </si>
  <si>
    <t>이연 항목</t>
  </si>
  <si>
    <t>이연 시점</t>
  </si>
  <si>
    <t>비고</t>
  </si>
  <si>
    <r>
      <rPr>
        <sz val="9"/>
        <color rgb="FF000000"/>
        <rFont val="맑은 고딕"/>
        <family val="3"/>
        <charset val="129"/>
      </rPr>
      <t xml:space="preserve">B2B </t>
    </r>
    <r>
      <rPr>
        <sz val="9"/>
        <color rgb="FF000000"/>
        <rFont val="Noto Sans CJK SC"/>
        <family val="2"/>
      </rPr>
      <t>결제</t>
    </r>
    <r>
      <rPr>
        <sz val="9"/>
        <color rgb="FF000000"/>
        <rFont val="맑은 고딕"/>
        <family val="3"/>
        <charset val="129"/>
      </rPr>
      <t xml:space="preserve">·B2G </t>
    </r>
    <r>
      <rPr>
        <sz val="9"/>
        <color rgb="FF000000"/>
        <rFont val="Noto Sans CJK SC"/>
        <family val="2"/>
      </rPr>
      <t>청구</t>
    </r>
  </si>
  <si>
    <t>GA 1.0</t>
  </si>
  <si>
    <r>
      <rPr>
        <sz val="9"/>
        <color rgb="FF000000"/>
        <rFont val="맑은 고딕"/>
        <family val="3"/>
        <charset val="129"/>
      </rPr>
      <t>MVP</t>
    </r>
    <r>
      <rPr>
        <sz val="9"/>
        <color rgb="FF000000"/>
        <rFont val="Noto Sans CJK SC"/>
        <family val="2"/>
      </rPr>
      <t>는 무료 시범</t>
    </r>
  </si>
  <si>
    <r>
      <rPr>
        <sz val="9"/>
        <color rgb="FF000000"/>
        <rFont val="맑은 고딕"/>
        <family val="3"/>
        <charset val="129"/>
      </rPr>
      <t>18</t>
    </r>
    <r>
      <rPr>
        <sz val="9"/>
        <color rgb="FF000000"/>
        <rFont val="Noto Sans CJK SC"/>
        <family val="2"/>
      </rPr>
      <t>세 권한 이양 전체 자동화</t>
    </r>
  </si>
  <si>
    <t>일부 UI/자가진단 연동만 준비</t>
  </si>
  <si>
    <t>후견 모드 차등 권한 전체</t>
  </si>
  <si>
    <r>
      <rPr>
        <sz val="9"/>
        <color rgb="FF000000"/>
        <rFont val="맑은 고딕"/>
        <family val="3"/>
        <charset val="129"/>
      </rPr>
      <t>MVP</t>
    </r>
    <r>
      <rPr>
        <sz val="9"/>
        <color rgb="FF000000"/>
        <rFont val="Noto Sans CJK SC"/>
        <family val="2"/>
      </rPr>
      <t xml:space="preserve">는 </t>
    </r>
    <r>
      <rPr>
        <sz val="9"/>
        <color rgb="FF000000"/>
        <rFont val="맑은 고딕"/>
        <family val="3"/>
        <charset val="129"/>
      </rPr>
      <t xml:space="preserve">FR-71 </t>
    </r>
    <r>
      <rPr>
        <sz val="9"/>
        <color rgb="FF000000"/>
        <rFont val="Noto Sans CJK SC"/>
        <family val="2"/>
      </rPr>
      <t xml:space="preserve">인증 </t>
    </r>
    <r>
      <rPr>
        <sz val="9"/>
        <color rgb="FF000000"/>
        <rFont val="맑은 고딕"/>
        <family val="3"/>
        <charset val="129"/>
      </rPr>
      <t xml:space="preserve">PoC </t>
    </r>
    <r>
      <rPr>
        <sz val="9"/>
        <color rgb="FF000000"/>
        <rFont val="Noto Sans CJK SC"/>
        <family val="2"/>
      </rPr>
      <t>중심</t>
    </r>
  </si>
  <si>
    <t>행복e음·NEIS 연동</t>
  </si>
  <si>
    <t>v1.1</t>
  </si>
  <si>
    <t>공공 API 사전 절차 필요</t>
  </si>
  <si>
    <r>
      <rPr>
        <sz val="9"/>
        <color rgb="FF000000"/>
        <rFont val="맑은 고딕"/>
        <family val="3"/>
        <charset val="129"/>
      </rPr>
      <t>IoT/PHR/</t>
    </r>
    <r>
      <rPr>
        <sz val="9"/>
        <color rgb="FF000000"/>
        <rFont val="Noto Sans CJK SC"/>
        <family val="2"/>
      </rPr>
      <t>국민건강보험 연동</t>
    </r>
  </si>
  <si>
    <t>v2.0</t>
  </si>
  <si>
    <t>장기 로드맵</t>
  </si>
  <si>
    <r>
      <rPr>
        <b/>
        <sz val="11"/>
        <color rgb="FFFFFFFF"/>
        <rFont val="맑은 고딕"/>
        <family val="3"/>
        <charset val="129"/>
      </rPr>
      <t xml:space="preserve">3. </t>
    </r>
    <r>
      <rPr>
        <b/>
        <sz val="11"/>
        <color rgb="FFFFFFFF"/>
        <rFont val="Noto Sans CJK SC"/>
        <family val="2"/>
      </rPr>
      <t>권장 투입 규모</t>
    </r>
  </si>
  <si>
    <t>구분</t>
  </si>
  <si>
    <t>인원</t>
  </si>
  <si>
    <t>핵심 상시 인력</t>
  </si>
  <si>
    <r>
      <rPr>
        <sz val="9"/>
        <color rgb="FF000000"/>
        <rFont val="맑은 고딕"/>
        <family val="3"/>
        <charset val="129"/>
      </rPr>
      <t>8</t>
    </r>
    <r>
      <rPr>
        <sz val="9"/>
        <color rgb="FF000000"/>
        <rFont val="Noto Sans CJK SC"/>
        <family val="2"/>
      </rPr>
      <t>명</t>
    </r>
  </si>
  <si>
    <t>PM 1, UX 1, FE 2, BE 2, QA 1, DevOps 1</t>
  </si>
  <si>
    <t>파트타임/자문</t>
  </si>
  <si>
    <r>
      <rPr>
        <sz val="9"/>
        <color rgb="FF000000"/>
        <rFont val="맑은 고딕"/>
        <family val="3"/>
        <charset val="129"/>
      </rPr>
      <t>5</t>
    </r>
    <r>
      <rPr>
        <sz val="9"/>
        <color rgb="FF000000"/>
        <rFont val="Noto Sans CJK SC"/>
        <family val="2"/>
      </rPr>
      <t>명</t>
    </r>
  </si>
  <si>
    <t>법무, 보안, 접근성, AI, 현장 코디네이터</t>
  </si>
  <si>
    <t>총 권장 투입</t>
  </si>
  <si>
    <r>
      <rPr>
        <sz val="9"/>
        <color rgb="FF000000"/>
        <rFont val="맑은 고딕"/>
        <family val="3"/>
        <charset val="129"/>
      </rPr>
      <t>13</t>
    </r>
    <r>
      <rPr>
        <sz val="9"/>
        <color rgb="FF000000"/>
        <rFont val="Noto Sans CJK SC"/>
        <family val="2"/>
      </rPr>
      <t>명 내외</t>
    </r>
  </si>
  <si>
    <r>
      <rPr>
        <sz val="9"/>
        <color rgb="FF000000"/>
        <rFont val="맑은 고딕"/>
        <family val="3"/>
        <charset val="129"/>
      </rPr>
      <t>16</t>
    </r>
    <r>
      <rPr>
        <sz val="9"/>
        <color rgb="FF000000"/>
        <rFont val="Noto Sans CJK SC"/>
        <family val="2"/>
      </rPr>
      <t xml:space="preserve">주 </t>
    </r>
    <r>
      <rPr>
        <sz val="9"/>
        <color rgb="FF000000"/>
        <rFont val="맑은 고딕"/>
        <family val="3"/>
        <charset val="129"/>
      </rPr>
      <t xml:space="preserve">MVP Beta </t>
    </r>
    <r>
      <rPr>
        <sz val="9"/>
        <color rgb="FF000000"/>
        <rFont val="Noto Sans CJK SC"/>
        <family val="2"/>
      </rPr>
      <t>기준</t>
    </r>
  </si>
  <si>
    <r>
      <rPr>
        <b/>
        <sz val="11"/>
        <color rgb="FFFFFFFF"/>
        <rFont val="맑은 고딕"/>
        <family val="3"/>
        <charset val="129"/>
      </rPr>
      <t xml:space="preserve">4. </t>
    </r>
    <r>
      <rPr>
        <b/>
        <sz val="11"/>
        <color rgb="FFFFFFFF"/>
        <rFont val="Noto Sans CJK SC"/>
        <family val="2"/>
      </rPr>
      <t>단계별 요약</t>
    </r>
  </si>
  <si>
    <t>WBS</t>
  </si>
  <si>
    <t>단계</t>
  </si>
  <si>
    <t>기간</t>
  </si>
  <si>
    <t>주요 산출물</t>
  </si>
  <si>
    <t>1.0</t>
  </si>
  <si>
    <t>착수·범위 확정</t>
  </si>
  <si>
    <r>
      <rPr>
        <sz val="9"/>
        <color rgb="FF000000"/>
        <rFont val="맑은 고딕"/>
        <family val="3"/>
        <charset val="129"/>
      </rPr>
      <t>1</t>
    </r>
    <r>
      <rPr>
        <sz val="9"/>
        <color rgb="FF000000"/>
        <rFont val="Noto Sans CJK SC"/>
        <family val="2"/>
      </rPr>
      <t>주</t>
    </r>
  </si>
  <si>
    <t>킥오프, 범위 기준, 리스크 등록부</t>
  </si>
  <si>
    <t>2.0</t>
  </si>
  <si>
    <r>
      <rPr>
        <sz val="9"/>
        <color rgb="FF000000"/>
        <rFont val="맑은 고딕"/>
        <family val="3"/>
        <charset val="129"/>
      </rPr>
      <t xml:space="preserve">Design </t>
    </r>
    <r>
      <rPr>
        <sz val="9"/>
        <color rgb="FF000000"/>
        <rFont val="Noto Sans CJK SC"/>
        <family val="2"/>
      </rPr>
      <t>단계</t>
    </r>
  </si>
  <si>
    <r>
      <rPr>
        <sz val="9"/>
        <color rgb="FF000000"/>
        <rFont val="맑은 고딕"/>
        <family val="3"/>
        <charset val="129"/>
      </rPr>
      <t>2</t>
    </r>
    <r>
      <rPr>
        <sz val="9"/>
        <color rgb="FF000000"/>
        <rFont val="Noto Sans CJK SC"/>
        <family val="2"/>
      </rPr>
      <t>주</t>
    </r>
  </si>
  <si>
    <r>
      <rPr>
        <sz val="9"/>
        <color rgb="FF000000"/>
        <rFont val="맑은 고딕"/>
        <family val="3"/>
        <charset val="129"/>
      </rPr>
      <t xml:space="preserve">ERD, API, </t>
    </r>
    <r>
      <rPr>
        <sz val="9"/>
        <color rgb="FF000000"/>
        <rFont val="Noto Sans CJK SC"/>
        <family val="2"/>
      </rPr>
      <t>권한 정책</t>
    </r>
    <r>
      <rPr>
        <sz val="9"/>
        <color rgb="FF000000"/>
        <rFont val="맑은 고딕"/>
        <family val="3"/>
        <charset val="129"/>
      </rPr>
      <t>, Design Anchor</t>
    </r>
  </si>
  <si>
    <t>3.0</t>
  </si>
  <si>
    <r>
      <rPr>
        <sz val="9"/>
        <color rgb="FF000000"/>
        <rFont val="맑은 고딕"/>
        <family val="3"/>
        <charset val="129"/>
      </rPr>
      <t>Sprint 0 PoC·</t>
    </r>
    <r>
      <rPr>
        <sz val="9"/>
        <color rgb="FF000000"/>
        <rFont val="Noto Sans CJK SC"/>
        <family val="2"/>
      </rPr>
      <t>기반 구축</t>
    </r>
  </si>
  <si>
    <t>개발환경, CI, 외부 의존성 PoC</t>
  </si>
  <si>
    <t>4.0</t>
  </si>
  <si>
    <r>
      <rPr>
        <sz val="9"/>
        <color rgb="FF000000"/>
        <rFont val="맑은 고딕"/>
        <family val="3"/>
        <charset val="129"/>
      </rPr>
      <t xml:space="preserve">Sprint 1 </t>
    </r>
    <r>
      <rPr>
        <sz val="9"/>
        <color rgb="FF000000"/>
        <rFont val="Noto Sans CJK SC"/>
        <family val="2"/>
      </rPr>
      <t>인증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동의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권한</t>
    </r>
  </si>
  <si>
    <t>인증, RBAC/ABAC, 민감정보 동의</t>
  </si>
  <si>
    <t>5.0</t>
  </si>
  <si>
    <r>
      <rPr>
        <sz val="9"/>
        <color rgb="FF000000"/>
        <rFont val="맑은 고딕"/>
        <family val="3"/>
        <charset val="129"/>
      </rPr>
      <t xml:space="preserve">Sprint 2 </t>
    </r>
    <r>
      <rPr>
        <sz val="9"/>
        <color rgb="FF000000"/>
        <rFont val="Noto Sans CJK SC"/>
        <family val="2"/>
      </rPr>
      <t>기록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타임라인</t>
    </r>
  </si>
  <si>
    <r>
      <rPr>
        <sz val="9"/>
        <color rgb="FF000000"/>
        <rFont val="맑은 고딕"/>
        <family val="3"/>
        <charset val="129"/>
      </rPr>
      <t>3</t>
    </r>
    <r>
      <rPr>
        <sz val="9"/>
        <color rgb="FF000000"/>
        <rFont val="Noto Sans CJK SC"/>
        <family val="2"/>
      </rPr>
      <t>주</t>
    </r>
  </si>
  <si>
    <t>다중 입력, 사진 기록, 타임라인</t>
  </si>
  <si>
    <t>6.0</t>
  </si>
  <si>
    <r>
      <rPr>
        <sz val="9"/>
        <color rgb="FF000000"/>
        <rFont val="맑은 고딕"/>
        <family val="3"/>
        <charset val="129"/>
      </rPr>
      <t>Sprint 3 AAC·</t>
    </r>
    <r>
      <rPr>
        <sz val="9"/>
        <color rgb="FF000000"/>
        <rFont val="Noto Sans CJK SC"/>
        <family val="2"/>
      </rPr>
      <t>인계서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권한 완성</t>
    </r>
  </si>
  <si>
    <r>
      <rPr>
        <sz val="9"/>
        <color rgb="FF000000"/>
        <rFont val="맑은 고딕"/>
        <family val="3"/>
        <charset val="129"/>
      </rPr>
      <t xml:space="preserve">AAC </t>
    </r>
    <r>
      <rPr>
        <sz val="9"/>
        <color rgb="FF000000"/>
        <rFont val="Noto Sans CJK SC"/>
        <family val="2"/>
      </rPr>
      <t>동의</t>
    </r>
    <r>
      <rPr>
        <sz val="9"/>
        <color rgb="FF000000"/>
        <rFont val="맑은 고딕"/>
        <family val="3"/>
        <charset val="129"/>
      </rPr>
      <t>, 3</t>
    </r>
    <r>
      <rPr>
        <sz val="9"/>
        <color rgb="FF000000"/>
        <rFont val="Noto Sans CJK SC"/>
        <family val="2"/>
      </rPr>
      <t>분 인계서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권한 테스트</t>
    </r>
  </si>
  <si>
    <t>7.0</t>
  </si>
  <si>
    <r>
      <rPr>
        <sz val="9"/>
        <color rgb="FF000000"/>
        <rFont val="맑은 고딕"/>
        <family val="3"/>
        <charset val="129"/>
      </rPr>
      <t xml:space="preserve">Sprint 4 </t>
    </r>
    <r>
      <rPr>
        <sz val="9"/>
        <color rgb="FF000000"/>
        <rFont val="Noto Sans CJK SC"/>
        <family val="2"/>
      </rPr>
      <t>자가진단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오프라인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후견 인증</t>
    </r>
  </si>
  <si>
    <r>
      <rPr>
        <sz val="9"/>
        <color rgb="FF000000"/>
        <rFont val="맑은 고딕"/>
        <family val="3"/>
        <charset val="129"/>
      </rPr>
      <t xml:space="preserve">K-DST, M-CHAT-R, FR-71, </t>
    </r>
    <r>
      <rPr>
        <sz val="9"/>
        <color rgb="FF000000"/>
        <rFont val="Noto Sans CJK SC"/>
        <family val="2"/>
      </rPr>
      <t>오프라인 큐</t>
    </r>
  </si>
  <si>
    <t>8.0</t>
  </si>
  <si>
    <r>
      <rPr>
        <sz val="9"/>
        <color rgb="FF000000"/>
        <rFont val="맑은 고딕"/>
        <family val="3"/>
        <charset val="129"/>
      </rPr>
      <t>Sprint 5 U6·</t>
    </r>
    <r>
      <rPr>
        <sz val="9"/>
        <color rgb="FF000000"/>
        <rFont val="Noto Sans CJK SC"/>
        <family val="2"/>
      </rPr>
      <t>접근성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알림</t>
    </r>
    <r>
      <rPr>
        <sz val="9"/>
        <color rgb="FF000000"/>
        <rFont val="맑은 고딕"/>
        <family val="3"/>
        <charset val="129"/>
      </rPr>
      <t>·PDF</t>
    </r>
  </si>
  <si>
    <r>
      <rPr>
        <sz val="9"/>
        <color rgb="FF000000"/>
        <rFont val="맑은 고딕"/>
        <family val="3"/>
        <charset val="129"/>
      </rPr>
      <t xml:space="preserve">U6 </t>
    </r>
    <r>
      <rPr>
        <sz val="9"/>
        <color rgb="FF000000"/>
        <rFont val="Noto Sans CJK SC"/>
        <family val="2"/>
      </rPr>
      <t>화면</t>
    </r>
    <r>
      <rPr>
        <sz val="9"/>
        <color rgb="FF000000"/>
        <rFont val="맑은 고딕"/>
        <family val="3"/>
        <charset val="129"/>
      </rPr>
      <t xml:space="preserve">, AI </t>
    </r>
    <r>
      <rPr>
        <sz val="9"/>
        <color rgb="FF000000"/>
        <rFont val="Noto Sans CJK SC"/>
        <family val="2"/>
      </rPr>
      <t>추이</t>
    </r>
    <r>
      <rPr>
        <sz val="9"/>
        <color rgb="FF000000"/>
        <rFont val="맑은 고딕"/>
        <family val="3"/>
        <charset val="129"/>
      </rPr>
      <t xml:space="preserve">, PDF, </t>
    </r>
    <r>
      <rPr>
        <sz val="9"/>
        <color rgb="FF000000"/>
        <rFont val="Noto Sans CJK SC"/>
        <family val="2"/>
      </rPr>
      <t>알림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접근성</t>
    </r>
  </si>
  <si>
    <t>9.0</t>
  </si>
  <si>
    <r>
      <rPr>
        <sz val="9"/>
        <color rgb="FF000000"/>
        <rFont val="맑은 고딕"/>
        <family val="3"/>
        <charset val="129"/>
      </rPr>
      <t xml:space="preserve">Beta </t>
    </r>
    <r>
      <rPr>
        <sz val="9"/>
        <color rgb="FF000000"/>
        <rFont val="Noto Sans CJK SC"/>
        <family val="2"/>
      </rPr>
      <t>준비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검증</t>
    </r>
  </si>
  <si>
    <t>침투 테스트, E2E, 시범 운영 준비</t>
  </si>
  <si>
    <t>10.0</t>
  </si>
  <si>
    <r>
      <rPr>
        <sz val="9"/>
        <color rgb="FF000000"/>
        <rFont val="맑은 고딕"/>
        <family val="3"/>
        <charset val="129"/>
      </rPr>
      <t xml:space="preserve">Beta </t>
    </r>
    <r>
      <rPr>
        <sz val="9"/>
        <color rgb="FF000000"/>
        <rFont val="Noto Sans CJK SC"/>
        <family val="2"/>
      </rPr>
      <t>운영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회고</t>
    </r>
  </si>
  <si>
    <r>
      <rPr>
        <sz val="9"/>
        <color rgb="FF000000"/>
        <rFont val="맑은 고딕"/>
        <family val="3"/>
        <charset val="129"/>
      </rPr>
      <t>4</t>
    </r>
    <r>
      <rPr>
        <sz val="9"/>
        <color rgb="FF000000"/>
        <rFont val="Noto Sans CJK SC"/>
        <family val="2"/>
      </rPr>
      <t>주</t>
    </r>
  </si>
  <si>
    <t>운영 지표, 사용자 피드백, 개선 백로그</t>
  </si>
  <si>
    <t>투입 인력 계획</t>
  </si>
  <si>
    <t>코드</t>
  </si>
  <si>
    <t>전문가 명칭</t>
  </si>
  <si>
    <t>등급</t>
  </si>
  <si>
    <t>주요 책임</t>
  </si>
  <si>
    <t>투입 단계</t>
  </si>
  <si>
    <t>PM-01</t>
  </si>
  <si>
    <t>Product Manager / PM Lead</t>
  </si>
  <si>
    <t>고급</t>
  </si>
  <si>
    <t>범위·우선순위·요구사항·리빙랩 의사결정 관리</t>
  </si>
  <si>
    <t>전 단계</t>
  </si>
  <si>
    <t>PL-01</t>
  </si>
  <si>
    <r>
      <rPr>
        <sz val="9"/>
        <color rgb="FF000000"/>
        <rFont val="맑은 고딕"/>
        <family val="3"/>
        <charset val="129"/>
      </rPr>
      <t xml:space="preserve">Service Planner / </t>
    </r>
    <r>
      <rPr>
        <sz val="9"/>
        <color rgb="FF000000"/>
        <rFont val="Noto Sans CJK SC"/>
        <family val="2"/>
      </rPr>
      <t>복지서비스 기획자</t>
    </r>
  </si>
  <si>
    <t>생애주기 기록 체계, 사용자 여정, 권한 업무 흐름 설계</t>
  </si>
  <si>
    <t>기획~검증</t>
  </si>
  <si>
    <t>UX-01</t>
  </si>
  <si>
    <t>UX/UI Lead</t>
  </si>
  <si>
    <t>정보구조, 접근성, 당사자 모드, 디자인 시스템</t>
  </si>
  <si>
    <t>설계~검증</t>
  </si>
  <si>
    <t>UX-02</t>
  </si>
  <si>
    <t>Product Designer</t>
  </si>
  <si>
    <t>중급</t>
  </si>
  <si>
    <t>화면 상세, 컴포넌트, 사용성 테스트 반영</t>
  </si>
  <si>
    <t>설계~구현</t>
  </si>
  <si>
    <t>FE-01</t>
  </si>
  <si>
    <t>Frontend Lead / Next.js Architect</t>
  </si>
  <si>
    <r>
      <rPr>
        <sz val="9"/>
        <color rgb="FF000000"/>
        <rFont val="맑은 고딕"/>
        <family val="3"/>
        <charset val="129"/>
      </rPr>
      <t xml:space="preserve">App Router </t>
    </r>
    <r>
      <rPr>
        <sz val="9"/>
        <color rgb="FF000000"/>
        <rFont val="Noto Sans CJK SC"/>
        <family val="2"/>
      </rPr>
      <t>구조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상태관리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접근성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성능 기준</t>
    </r>
  </si>
  <si>
    <t>FE-02</t>
  </si>
  <si>
    <t>Frontend Engineer</t>
  </si>
  <si>
    <t>보호자/활동지원사/당사자 화면 구현</t>
  </si>
  <si>
    <t>구현</t>
  </si>
  <si>
    <t>FE-03</t>
  </si>
  <si>
    <t>초급</t>
  </si>
  <si>
    <t>정적 화면, UI 컴포넌트, QA 수정</t>
  </si>
  <si>
    <t>구현~검증</t>
  </si>
  <si>
    <t>BE-01</t>
  </si>
  <si>
    <t>Backend Lead / API Architect</t>
  </si>
  <si>
    <r>
      <rPr>
        <sz val="9"/>
        <color rgb="FF000000"/>
        <rFont val="맑은 고딕"/>
        <family val="3"/>
        <charset val="129"/>
      </rPr>
      <t xml:space="preserve">API, </t>
    </r>
    <r>
      <rPr>
        <sz val="9"/>
        <color rgb="FF000000"/>
        <rFont val="Noto Sans CJK SC"/>
        <family val="2"/>
      </rPr>
      <t>권한 엔진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트랜잭션</t>
    </r>
    <r>
      <rPr>
        <sz val="9"/>
        <color rgb="FF000000"/>
        <rFont val="맑은 고딕"/>
        <family val="3"/>
        <charset val="129"/>
      </rPr>
      <t xml:space="preserve">, Audit </t>
    </r>
    <r>
      <rPr>
        <sz val="9"/>
        <color rgb="FF000000"/>
        <rFont val="Noto Sans CJK SC"/>
        <family val="2"/>
      </rPr>
      <t>구조</t>
    </r>
  </si>
  <si>
    <t>BE-02</t>
  </si>
  <si>
    <t>Backend Engineer</t>
  </si>
  <si>
    <t>인증, 기록, 타임라인, 인계서 API 구현</t>
  </si>
  <si>
    <t>BE-03</t>
  </si>
  <si>
    <t>자가진단, 알림, 파일/PDF, 오프라인 동기화</t>
  </si>
  <si>
    <t>SEC-01</t>
  </si>
  <si>
    <t>Security &amp; Compliance Lead</t>
  </si>
  <si>
    <t>개인정보, 의료법, 후견, 감사 로그, 침투 테스트 대응</t>
  </si>
  <si>
    <t>LEG-01</t>
  </si>
  <si>
    <r>
      <rPr>
        <sz val="9"/>
        <color rgb="FF000000"/>
        <rFont val="맑은 고딕"/>
        <family val="3"/>
        <charset val="129"/>
      </rPr>
      <t xml:space="preserve">Legal Counsel / </t>
    </r>
    <r>
      <rPr>
        <sz val="9"/>
        <color rgb="FF000000"/>
        <rFont val="Noto Sans CJK SC"/>
        <family val="2"/>
      </rPr>
      <t>개인정보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의료법 자문</t>
    </r>
  </si>
  <si>
    <t>의료법·개인정보·후견 관련 문구 및 절차 검토</t>
  </si>
  <si>
    <t>AI-01</t>
  </si>
  <si>
    <t>AI/LLM Engineer</t>
  </si>
  <si>
    <t>사진 분류, AI 추이 분석, LLM 가드레일</t>
  </si>
  <si>
    <r>
      <rPr>
        <sz val="9"/>
        <color rgb="FF000000"/>
        <rFont val="맑은 고딕"/>
        <family val="3"/>
        <charset val="129"/>
      </rPr>
      <t>PoC~</t>
    </r>
    <r>
      <rPr>
        <sz val="9"/>
        <color rgb="FF000000"/>
        <rFont val="Noto Sans CJK SC"/>
        <family val="2"/>
      </rPr>
      <t>구현</t>
    </r>
  </si>
  <si>
    <t>QA-01</t>
  </si>
  <si>
    <t>QA Lead / Test Architect</t>
  </si>
  <si>
    <t>테스트 전략, 권한 매트릭스, E2E 기준</t>
  </si>
  <si>
    <t>QA-02</t>
  </si>
  <si>
    <t>QA Engineer</t>
  </si>
  <si>
    <r>
      <rPr>
        <sz val="9"/>
        <color rgb="FF000000"/>
        <rFont val="맑은 고딕"/>
        <family val="3"/>
        <charset val="129"/>
      </rPr>
      <t xml:space="preserve">Playwright, </t>
    </r>
    <r>
      <rPr>
        <sz val="9"/>
        <color rgb="FF000000"/>
        <rFont val="Noto Sans CJK SC"/>
        <family val="2"/>
      </rPr>
      <t>접근성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회귀 테스트 수행</t>
    </r>
  </si>
  <si>
    <t>DEVOPS-01</t>
  </si>
  <si>
    <t>DevOps / Cloud Engineer</t>
  </si>
  <si>
    <r>
      <rPr>
        <sz val="9"/>
        <color rgb="FF000000"/>
        <rFont val="맑은 고딕"/>
        <family val="3"/>
        <charset val="129"/>
      </rPr>
      <t xml:space="preserve">NCP/AWS </t>
    </r>
    <r>
      <rPr>
        <sz val="9"/>
        <color rgb="FF000000"/>
        <rFont val="Noto Sans CJK SC"/>
        <family val="2"/>
      </rPr>
      <t>환경</t>
    </r>
    <r>
      <rPr>
        <sz val="9"/>
        <color rgb="FF000000"/>
        <rFont val="맑은 고딕"/>
        <family val="3"/>
        <charset val="129"/>
      </rPr>
      <t xml:space="preserve">, CI/CD, </t>
    </r>
    <r>
      <rPr>
        <sz val="9"/>
        <color rgb="FF000000"/>
        <rFont val="Noto Sans CJK SC"/>
        <family val="2"/>
      </rPr>
      <t>로그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모니터링</t>
    </r>
  </si>
  <si>
    <r>
      <rPr>
        <sz val="9"/>
        <color rgb="FF000000"/>
        <rFont val="맑은 고딕"/>
        <family val="3"/>
        <charset val="129"/>
      </rPr>
      <t>PoC~</t>
    </r>
    <r>
      <rPr>
        <sz val="9"/>
        <color rgb="FF000000"/>
        <rFont val="Noto Sans CJK SC"/>
        <family val="2"/>
      </rPr>
      <t>운영</t>
    </r>
  </si>
  <si>
    <t>ACC-01</t>
  </si>
  <si>
    <t>Accessibility Consultant</t>
  </si>
  <si>
    <r>
      <rPr>
        <sz val="9"/>
        <color rgb="FF000000"/>
        <rFont val="맑은 고딕"/>
        <family val="3"/>
        <charset val="129"/>
      </rPr>
      <t xml:space="preserve">KWCAG, </t>
    </r>
    <r>
      <rPr>
        <sz val="9"/>
        <color rgb="FF000000"/>
        <rFont val="Noto Sans CJK SC"/>
        <family val="2"/>
      </rPr>
      <t>인지 접근성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당사자 사용성 자문</t>
    </r>
  </si>
  <si>
    <t>BIZ-01</t>
  </si>
  <si>
    <t>Partnership / Field Coordinator</t>
  </si>
  <si>
    <t>시범 시설, 보호자/활동지원사/일반교사 모집</t>
  </si>
  <si>
    <t>준비~운영</t>
  </si>
  <si>
    <r>
      <rPr>
        <b/>
        <sz val="14"/>
        <color rgb="FFFFFFFF"/>
        <rFont val="맑은 고딕"/>
        <family val="3"/>
        <charset val="129"/>
      </rPr>
      <t xml:space="preserve">Recordare WBS </t>
    </r>
    <r>
      <rPr>
        <b/>
        <sz val="14"/>
        <color rgb="FFFFFFFF"/>
        <rFont val="Noto Sans CJK SC"/>
        <family val="2"/>
      </rPr>
      <t>상세 일정</t>
    </r>
  </si>
  <si>
    <t>프로젝트 시작일</t>
  </si>
  <si>
    <t>시작일·기간(일)은 입력값, 종료일·기간(주)는 자동 계산</t>
  </si>
  <si>
    <t>WBS ID</t>
  </si>
  <si>
    <t>작업명</t>
  </si>
  <si>
    <t>상세 작업</t>
  </si>
  <si>
    <t>산출물</t>
  </si>
  <si>
    <t>담당</t>
  </si>
  <si>
    <t>기간(일)</t>
  </si>
  <si>
    <t>선행</t>
  </si>
  <si>
    <t>시작일</t>
  </si>
  <si>
    <t>종료일</t>
  </si>
  <si>
    <t>기간(주)</t>
  </si>
  <si>
    <t>진척(%)</t>
  </si>
  <si>
    <t>1.1</t>
  </si>
  <si>
    <r>
      <rPr>
        <b/>
        <sz val="9"/>
        <color rgb="FF4E79A7"/>
        <rFont val="맑은 고딕"/>
        <family val="3"/>
        <charset val="129"/>
      </rPr>
      <t xml:space="preserve">1.0 </t>
    </r>
    <r>
      <rPr>
        <b/>
        <sz val="9"/>
        <color rgb="FF4E79A7"/>
        <rFont val="Noto Sans CJK SC"/>
        <family val="2"/>
      </rPr>
      <t>착수</t>
    </r>
    <r>
      <rPr>
        <b/>
        <sz val="9"/>
        <color rgb="FF4E79A7"/>
        <rFont val="맑은 고딕"/>
        <family val="3"/>
        <charset val="129"/>
      </rPr>
      <t>·</t>
    </r>
    <r>
      <rPr>
        <b/>
        <sz val="9"/>
        <color rgb="FF4E79A7"/>
        <rFont val="Noto Sans CJK SC"/>
        <family val="2"/>
      </rPr>
      <t>범위 확정</t>
    </r>
  </si>
  <si>
    <t>프로젝트 킥오프</t>
  </si>
  <si>
    <t>목표, 범위, 의사결정 구조, 커뮤니케이션 룰 확정</t>
  </si>
  <si>
    <r>
      <rPr>
        <sz val="9"/>
        <color rgb="FF000000"/>
        <rFont val="맑은 고딕"/>
        <family val="3"/>
        <charset val="129"/>
      </rPr>
      <t xml:space="preserve">Kickoff Deck, </t>
    </r>
    <r>
      <rPr>
        <sz val="9"/>
        <color rgb="FF000000"/>
        <rFont val="Noto Sans CJK SC"/>
        <family val="2"/>
      </rPr>
      <t>회의록</t>
    </r>
  </si>
  <si>
    <t>-</t>
  </si>
  <si>
    <t>1.2</t>
  </si>
  <si>
    <t>기준 문서 Baseline</t>
  </si>
  <si>
    <r>
      <rPr>
        <sz val="9"/>
        <color rgb="FF000000"/>
        <rFont val="맑은 고딕"/>
        <family val="3"/>
        <charset val="129"/>
      </rPr>
      <t>PRD/Plan/UX/Workflow/</t>
    </r>
    <r>
      <rPr>
        <sz val="9"/>
        <color rgb="FF000000"/>
        <rFont val="Noto Sans CJK SC"/>
        <family val="2"/>
      </rPr>
      <t>생애주기 문서 버전 잠금</t>
    </r>
  </si>
  <si>
    <r>
      <rPr>
        <sz val="9"/>
        <color rgb="FF000000"/>
        <rFont val="맑은 고딕"/>
        <family val="3"/>
        <charset val="129"/>
      </rPr>
      <t xml:space="preserve">Baseline </t>
    </r>
    <r>
      <rPr>
        <sz val="9"/>
        <color rgb="FF000000"/>
        <rFont val="Noto Sans CJK SC"/>
        <family val="2"/>
      </rPr>
      <t>목록</t>
    </r>
  </si>
  <si>
    <t>PM-01, PL-01</t>
  </si>
  <si>
    <t>1.3</t>
  </si>
  <si>
    <r>
      <rPr>
        <sz val="9"/>
        <color rgb="FF000000"/>
        <rFont val="맑은 고딕"/>
        <family val="3"/>
        <charset val="129"/>
      </rPr>
      <t xml:space="preserve">MVP </t>
    </r>
    <r>
      <rPr>
        <sz val="9"/>
        <color rgb="FF000000"/>
        <rFont val="Noto Sans CJK SC"/>
        <family val="2"/>
      </rPr>
      <t>범위 확정</t>
    </r>
  </si>
  <si>
    <r>
      <rPr>
        <sz val="9"/>
        <color rgb="FF000000"/>
        <rFont val="맑은 고딕"/>
        <family val="3"/>
        <charset val="129"/>
      </rPr>
      <t>28</t>
    </r>
    <r>
      <rPr>
        <sz val="9"/>
        <color rgb="FF000000"/>
        <rFont val="Noto Sans CJK SC"/>
        <family val="2"/>
      </rPr>
      <t xml:space="preserve">개 </t>
    </r>
    <r>
      <rPr>
        <sz val="9"/>
        <color rgb="FF000000"/>
        <rFont val="맑은 고딕"/>
        <family val="3"/>
        <charset val="129"/>
      </rPr>
      <t>FR, 7</t>
    </r>
    <r>
      <rPr>
        <sz val="9"/>
        <color rgb="FF000000"/>
        <rFont val="Noto Sans CJK SC"/>
        <family val="2"/>
      </rPr>
      <t xml:space="preserve">개 </t>
    </r>
    <r>
      <rPr>
        <sz val="9"/>
        <color rgb="FF000000"/>
        <rFont val="맑은 고딕"/>
        <family val="3"/>
        <charset val="129"/>
      </rPr>
      <t xml:space="preserve">NFR, </t>
    </r>
    <r>
      <rPr>
        <sz val="9"/>
        <color rgb="FF000000"/>
        <rFont val="Noto Sans CJK SC"/>
        <family val="2"/>
      </rPr>
      <t>제외 범위 확인</t>
    </r>
  </si>
  <si>
    <t>Scope Statement</t>
  </si>
  <si>
    <t>1.4</t>
  </si>
  <si>
    <t>리스크 등록부 작성</t>
  </si>
  <si>
    <t>의료법, 개인정보, 권한, PWA, 시범 모집 리스크 등록</t>
  </si>
  <si>
    <t>Risk Register</t>
  </si>
  <si>
    <t>SEC-01, PM-01</t>
  </si>
  <si>
    <t>1.5</t>
  </si>
  <si>
    <t>현장 검증 계획</t>
  </si>
  <si>
    <t>시범 시설 8곳, 사용자 150명, 일반교사 25명 모집 계획</t>
  </si>
  <si>
    <t>Field Test Plan</t>
  </si>
  <si>
    <t>BIZ-01, PL-01</t>
  </si>
  <si>
    <t>중급/고급</t>
  </si>
  <si>
    <t>2.1</t>
  </si>
  <si>
    <r>
      <rPr>
        <b/>
        <sz val="9"/>
        <color rgb="FF59A14F"/>
        <rFont val="맑은 고딕"/>
        <family val="3"/>
        <charset val="129"/>
      </rPr>
      <t xml:space="preserve">2.0 Design </t>
    </r>
    <r>
      <rPr>
        <b/>
        <sz val="9"/>
        <color rgb="FF59A14F"/>
        <rFont val="Noto Sans CJK SC"/>
        <family val="2"/>
      </rPr>
      <t>단계</t>
    </r>
  </si>
  <si>
    <t>데이터 모델 ERD</t>
  </si>
  <si>
    <r>
      <rPr>
        <sz val="9"/>
        <color rgb="FF000000"/>
        <rFont val="맑은 고딕"/>
        <family val="3"/>
        <charset val="129"/>
      </rPr>
      <t xml:space="preserve">Person, JournalEntry, TimelineCard, ScreeningResult, Permission, AuditLog </t>
    </r>
    <r>
      <rPr>
        <sz val="9"/>
        <color rgb="FF000000"/>
        <rFont val="Noto Sans CJK SC"/>
        <family val="2"/>
      </rPr>
      <t>모델 설계</t>
    </r>
  </si>
  <si>
    <r>
      <rPr>
        <sz val="9"/>
        <color rgb="FF000000"/>
        <rFont val="맑은 고딕"/>
        <family val="3"/>
        <charset val="129"/>
      </rPr>
      <t xml:space="preserve">ERD, Prisma </t>
    </r>
    <r>
      <rPr>
        <sz val="9"/>
        <color rgb="FF000000"/>
        <rFont val="Noto Sans CJK SC"/>
        <family val="2"/>
      </rPr>
      <t>초안</t>
    </r>
  </si>
  <si>
    <t>2.2</t>
  </si>
  <si>
    <r>
      <rPr>
        <sz val="9"/>
        <color rgb="FF000000"/>
        <rFont val="맑은 고딕"/>
        <family val="3"/>
        <charset val="129"/>
      </rPr>
      <t xml:space="preserve">Lifecycle/RecordCategory </t>
    </r>
    <r>
      <rPr>
        <sz val="9"/>
        <color rgb="FF000000"/>
        <rFont val="Noto Sans CJK SC"/>
        <family val="2"/>
      </rPr>
      <t>반영</t>
    </r>
  </si>
  <si>
    <r>
      <rPr>
        <sz val="9"/>
        <color rgb="FF000000"/>
        <rFont val="맑은 고딕"/>
        <family val="3"/>
        <charset val="129"/>
      </rPr>
      <t>LifecycleStage, RecordCategory enum</t>
    </r>
    <r>
      <rPr>
        <sz val="9"/>
        <color rgb="FF000000"/>
        <rFont val="Noto Sans CJK SC"/>
        <family val="2"/>
      </rPr>
      <t>과 민감정보 정책 매핑</t>
    </r>
  </si>
  <si>
    <t>Data Taxonomy Spec</t>
  </si>
  <si>
    <t>PL-01, BE-01</t>
  </si>
  <si>
    <t>2.3</t>
  </si>
  <si>
    <r>
      <rPr>
        <sz val="9"/>
        <color rgb="FF000000"/>
        <rFont val="맑은 고딕"/>
        <family val="3"/>
        <charset val="129"/>
      </rPr>
      <t xml:space="preserve">API </t>
    </r>
    <r>
      <rPr>
        <sz val="9"/>
        <color rgb="FF000000"/>
        <rFont val="Noto Sans CJK SC"/>
        <family val="2"/>
      </rPr>
      <t>설계</t>
    </r>
  </si>
  <si>
    <t>인증, 기록, 타임라인, 권한, 자가진단, 인계서 API 정의</t>
  </si>
  <si>
    <r>
      <rPr>
        <sz val="9"/>
        <color rgb="FF000000"/>
        <rFont val="맑은 고딕"/>
        <family val="3"/>
        <charset val="129"/>
      </rPr>
      <t xml:space="preserve">OpenAPI </t>
    </r>
    <r>
      <rPr>
        <sz val="9"/>
        <color rgb="FF000000"/>
        <rFont val="Noto Sans CJK SC"/>
        <family val="2"/>
      </rPr>
      <t>초안</t>
    </r>
  </si>
  <si>
    <t>BE-01, BE-02</t>
  </si>
  <si>
    <t>고급/중급</t>
  </si>
  <si>
    <t>2.4</t>
  </si>
  <si>
    <t>권한 엔진 PoC 설계</t>
  </si>
  <si>
    <t>코드 기반 vs OPA, 6x20 권한 매트릭스 테스트 기준</t>
  </si>
  <si>
    <t>Permission PoC Plan</t>
  </si>
  <si>
    <t>BE-01, SEC-01</t>
  </si>
  <si>
    <t>2.5</t>
  </si>
  <si>
    <t>UX Design Anchor</t>
  </si>
  <si>
    <t>색상, 타이포, 컴포넌트, 생애주기·카테고리 필터 기준</t>
  </si>
  <si>
    <t>Design Anchor</t>
  </si>
  <si>
    <t>2.6</t>
  </si>
  <si>
    <r>
      <rPr>
        <sz val="9"/>
        <color rgb="FF000000"/>
        <rFont val="맑은 고딕"/>
        <family val="3"/>
        <charset val="129"/>
      </rPr>
      <t xml:space="preserve">FR-68 </t>
    </r>
    <r>
      <rPr>
        <sz val="9"/>
        <color rgb="FF000000"/>
        <rFont val="Noto Sans CJK SC"/>
        <family val="2"/>
      </rPr>
      <t>법적 문구 검토</t>
    </r>
  </si>
  <si>
    <t>자가진단 화면/PDF/AI 인사이트 문구 법무 검토</t>
  </si>
  <si>
    <t>Legal Copy Pack</t>
  </si>
  <si>
    <t>LEG-01, SEC-01</t>
  </si>
  <si>
    <t>2.7</t>
  </si>
  <si>
    <r>
      <rPr>
        <sz val="9"/>
        <color rgb="FF000000"/>
        <rFont val="맑은 고딕"/>
        <family val="3"/>
        <charset val="129"/>
      </rPr>
      <t>Saga/</t>
    </r>
    <r>
      <rPr>
        <sz val="9"/>
        <color rgb="FF000000"/>
        <rFont val="Noto Sans CJK SC"/>
        <family val="2"/>
      </rPr>
      <t>트랜잭션 경계</t>
    </r>
  </si>
  <si>
    <t>권한 부여, 인계서 발행, 자가진단 제출, 오프라인 동기화 트랜잭션 정의</t>
  </si>
  <si>
    <t>Transaction Spec</t>
  </si>
  <si>
    <t>BE-01, PL-01</t>
  </si>
  <si>
    <t>3.1</t>
  </si>
  <si>
    <r>
      <rPr>
        <b/>
        <sz val="9"/>
        <color rgb="FF9C6ADE"/>
        <rFont val="맑은 고딕"/>
        <family val="3"/>
        <charset val="129"/>
      </rPr>
      <t>3.0 Sprint 0 PoC·</t>
    </r>
    <r>
      <rPr>
        <b/>
        <sz val="9"/>
        <color rgb="FF9C6ADE"/>
        <rFont val="Noto Sans CJK SC"/>
        <family val="2"/>
      </rPr>
      <t>기반 구축</t>
    </r>
  </si>
  <si>
    <t>개발환경 정비</t>
  </si>
  <si>
    <r>
      <rPr>
        <sz val="9"/>
        <color rgb="FF000000"/>
        <rFont val="맑은 고딕"/>
        <family val="3"/>
        <charset val="129"/>
      </rPr>
      <t xml:space="preserve">Next.js, API, DB, Redis, </t>
    </r>
    <r>
      <rPr>
        <sz val="9"/>
        <color rgb="FF000000"/>
        <rFont val="Noto Sans CJK SC"/>
        <family val="2"/>
      </rPr>
      <t>로컬 실행 환경 정리</t>
    </r>
  </si>
  <si>
    <t>Dev Setup Guide</t>
  </si>
  <si>
    <t>DEVOPS-01, FE-01</t>
  </si>
  <si>
    <t>3.2</t>
  </si>
  <si>
    <r>
      <rPr>
        <sz val="9"/>
        <color rgb="FF000000"/>
        <rFont val="맑은 고딕"/>
        <family val="3"/>
        <charset val="129"/>
      </rPr>
      <t xml:space="preserve">CI/CD </t>
    </r>
    <r>
      <rPr>
        <sz val="9"/>
        <color rgb="FF000000"/>
        <rFont val="Noto Sans CJK SC"/>
        <family val="2"/>
      </rPr>
      <t>구성</t>
    </r>
  </si>
  <si>
    <r>
      <rPr>
        <sz val="9"/>
        <color rgb="FF000000"/>
        <rFont val="맑은 고딕"/>
        <family val="3"/>
        <charset val="129"/>
      </rPr>
      <t xml:space="preserve">lint, typecheck, build, test </t>
    </r>
    <r>
      <rPr>
        <sz val="9"/>
        <color rgb="FF000000"/>
        <rFont val="Noto Sans CJK SC"/>
        <family val="2"/>
      </rPr>
      <t>파이프라인 구성</t>
    </r>
  </si>
  <si>
    <t>CI Workflow</t>
  </si>
  <si>
    <t>3.3</t>
  </si>
  <si>
    <t>상태관리 기반</t>
  </si>
  <si>
    <r>
      <rPr>
        <sz val="9"/>
        <color rgb="FF000000"/>
        <rFont val="맑은 고딕"/>
        <family val="3"/>
        <charset val="129"/>
      </rPr>
      <t xml:space="preserve">TanStack Query, Zustand, shared types </t>
    </r>
    <r>
      <rPr>
        <sz val="9"/>
        <color rgb="FF000000"/>
        <rFont val="Noto Sans CJK SC"/>
        <family val="2"/>
      </rPr>
      <t>구성</t>
    </r>
  </si>
  <si>
    <t>Frontend State Base</t>
  </si>
  <si>
    <t>3.4</t>
  </si>
  <si>
    <r>
      <rPr>
        <sz val="9"/>
        <color rgb="FF000000"/>
        <rFont val="맑은 고딕"/>
        <family val="3"/>
        <charset val="129"/>
      </rPr>
      <t xml:space="preserve">Disclaimer </t>
    </r>
    <r>
      <rPr>
        <sz val="9"/>
        <color rgb="FF000000"/>
        <rFont val="Noto Sans CJK SC"/>
        <family val="2"/>
      </rPr>
      <t>컴포넌트</t>
    </r>
  </si>
  <si>
    <r>
      <rPr>
        <sz val="9"/>
        <color rgb="FF000000"/>
        <rFont val="맑은 고딕"/>
        <family val="3"/>
        <charset val="129"/>
      </rPr>
      <t xml:space="preserve">DisclaimerBanner, PDF </t>
    </r>
    <r>
      <rPr>
        <sz val="9"/>
        <color rgb="FF000000"/>
        <rFont val="Noto Sans CJK SC"/>
        <family val="2"/>
      </rPr>
      <t>워터마크 기준 컴포넌트화</t>
    </r>
  </si>
  <si>
    <t>UI Component</t>
  </si>
  <si>
    <t>FE-01, UX-02</t>
  </si>
  <si>
    <t>3.5</t>
  </si>
  <si>
    <t>AI/Vision/OCR PoC</t>
  </si>
  <si>
    <t>사진 분류, OCR, LLM 추이 분석, 가드레일 검증</t>
  </si>
  <si>
    <t>PoC Report</t>
  </si>
  <si>
    <t>AI-01, BE-03</t>
  </si>
  <si>
    <t>3.6</t>
  </si>
  <si>
    <t>빠른 선택 UI PoC</t>
  </si>
  <si>
    <r>
      <rPr>
        <sz val="9"/>
        <color rgb="FF000000"/>
        <rFont val="맑은 고딕"/>
        <family val="3"/>
        <charset val="129"/>
      </rPr>
      <t xml:space="preserve">FR-69 </t>
    </r>
    <r>
      <rPr>
        <sz val="9"/>
        <color rgb="FF000000"/>
        <rFont val="Noto Sans CJK SC"/>
        <family val="2"/>
      </rPr>
      <t>빠른 선택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 xml:space="preserve">체크리스트 </t>
    </r>
    <r>
      <rPr>
        <sz val="9"/>
        <color rgb="FF000000"/>
        <rFont val="맑은 고딕"/>
        <family val="3"/>
        <charset val="129"/>
      </rPr>
      <t>15</t>
    </r>
    <r>
      <rPr>
        <sz val="9"/>
        <color rgb="FF000000"/>
        <rFont val="Noto Sans CJK SC"/>
        <family val="2"/>
      </rPr>
      <t>초</t>
    </r>
    <r>
      <rPr>
        <sz val="9"/>
        <color rgb="FF000000"/>
        <rFont val="맑은 고딕"/>
        <family val="3"/>
        <charset val="129"/>
      </rPr>
      <t>/5</t>
    </r>
    <r>
      <rPr>
        <sz val="9"/>
        <color rgb="FF000000"/>
        <rFont val="Noto Sans CJK SC"/>
        <family val="2"/>
      </rPr>
      <t>초 사용성 검증</t>
    </r>
  </si>
  <si>
    <r>
      <rPr>
        <sz val="9"/>
        <color rgb="FF000000"/>
        <rFont val="맑은 고딕"/>
        <family val="3"/>
        <charset val="129"/>
      </rPr>
      <t xml:space="preserve">UI PoC </t>
    </r>
    <r>
      <rPr>
        <sz val="9"/>
        <color rgb="FF000000"/>
        <rFont val="Noto Sans CJK SC"/>
        <family val="2"/>
      </rPr>
      <t>결과</t>
    </r>
  </si>
  <si>
    <t>UX-01, FE-02, PL-01</t>
  </si>
  <si>
    <t>4.1</t>
  </si>
  <si>
    <r>
      <rPr>
        <b/>
        <sz val="9"/>
        <color rgb="FFE15759"/>
        <rFont val="맑은 고딕"/>
        <family val="3"/>
        <charset val="129"/>
      </rPr>
      <t xml:space="preserve">4.0 Sprint 1 </t>
    </r>
    <r>
      <rPr>
        <b/>
        <sz val="9"/>
        <color rgb="FFE15759"/>
        <rFont val="Noto Sans CJK SC"/>
        <family val="2"/>
      </rPr>
      <t>인증</t>
    </r>
    <r>
      <rPr>
        <b/>
        <sz val="9"/>
        <color rgb="FFE15759"/>
        <rFont val="맑은 고딕"/>
        <family val="3"/>
        <charset val="129"/>
      </rPr>
      <t>·</t>
    </r>
    <r>
      <rPr>
        <b/>
        <sz val="9"/>
        <color rgb="FFE15759"/>
        <rFont val="Noto Sans CJK SC"/>
        <family val="2"/>
      </rPr>
      <t>동의</t>
    </r>
    <r>
      <rPr>
        <b/>
        <sz val="9"/>
        <color rgb="FFE15759"/>
        <rFont val="맑은 고딕"/>
        <family val="3"/>
        <charset val="129"/>
      </rPr>
      <t>·</t>
    </r>
    <r>
      <rPr>
        <b/>
        <sz val="9"/>
        <color rgb="FFE15759"/>
        <rFont val="Noto Sans CJK SC"/>
        <family val="2"/>
      </rPr>
      <t>권한</t>
    </r>
  </si>
  <si>
    <t>인증/역할 모델</t>
  </si>
  <si>
    <t>보호자, 활동지원사, 당사자, U4, 시설장, 일반교사 역할 모델</t>
  </si>
  <si>
    <t>Auth/Roles</t>
  </si>
  <si>
    <t>BE-02, FE-02</t>
  </si>
  <si>
    <t>4.2</t>
  </si>
  <si>
    <t>보호자 온보딩 7-Step</t>
  </si>
  <si>
    <t>가입, 자녀 등록, 소속기관, 알림, First Value 흐름</t>
  </si>
  <si>
    <t>Onboarding Flow</t>
  </si>
  <si>
    <t>FE-02, BE-02</t>
  </si>
  <si>
    <t>4.3</t>
  </si>
  <si>
    <t>민감정보 분리 동의</t>
  </si>
  <si>
    <t>건강·자가진단·후견·장애정보 별도 동의 화면/API</t>
  </si>
  <si>
    <t>Consent Module</t>
  </si>
  <si>
    <t>SEC-01, BE-02, FE-01</t>
  </si>
  <si>
    <t>4.4</t>
  </si>
  <si>
    <t>권한 매트릭스 v1</t>
  </si>
  <si>
    <r>
      <rPr>
        <sz val="9"/>
        <color rgb="FF000000"/>
        <rFont val="맑은 고딕"/>
        <family val="3"/>
        <charset val="129"/>
      </rPr>
      <t xml:space="preserve">6x20 </t>
    </r>
    <r>
      <rPr>
        <sz val="9"/>
        <color rgb="FF000000"/>
        <rFont val="Noto Sans CJK SC"/>
        <family val="2"/>
      </rPr>
      <t xml:space="preserve">권한 정책 </t>
    </r>
    <r>
      <rPr>
        <sz val="9"/>
        <color rgb="FF000000"/>
        <rFont val="맑은 고딕"/>
        <family val="3"/>
        <charset val="129"/>
      </rPr>
      <t>JSON/</t>
    </r>
    <r>
      <rPr>
        <sz val="9"/>
        <color rgb="FF000000"/>
        <rFont val="Noto Sans CJK SC"/>
        <family val="2"/>
      </rPr>
      <t>코드 구현</t>
    </r>
  </si>
  <si>
    <t>Permission Matrix</t>
  </si>
  <si>
    <t>4.5</t>
  </si>
  <si>
    <r>
      <rPr>
        <sz val="9"/>
        <color rgb="FF000000"/>
        <rFont val="맑은 고딕"/>
        <family val="3"/>
        <charset val="129"/>
      </rPr>
      <t xml:space="preserve">Audit Log </t>
    </r>
    <r>
      <rPr>
        <sz val="9"/>
        <color rgb="FF000000"/>
        <rFont val="Noto Sans CJK SC"/>
        <family val="2"/>
      </rPr>
      <t>기본</t>
    </r>
  </si>
  <si>
    <t>데이터 액션 로그, actor/subject/action/time 구조</t>
  </si>
  <si>
    <t>Audit Base</t>
  </si>
  <si>
    <t>BE-03, SEC-01</t>
  </si>
  <si>
    <t>4.6</t>
  </si>
  <si>
    <r>
      <rPr>
        <sz val="9"/>
        <color rgb="FF000000"/>
        <rFont val="맑은 고딕"/>
        <family val="3"/>
        <charset val="129"/>
      </rPr>
      <t xml:space="preserve">E2E </t>
    </r>
    <r>
      <rPr>
        <sz val="9"/>
        <color rgb="FF000000"/>
        <rFont val="Noto Sans CJK SC"/>
        <family val="2"/>
      </rPr>
      <t xml:space="preserve">회귀 </t>
    </r>
    <r>
      <rPr>
        <sz val="9"/>
        <color rgb="FF000000"/>
        <rFont val="맑은 고딕"/>
        <family val="3"/>
        <charset val="129"/>
      </rPr>
      <t>1</t>
    </r>
    <r>
      <rPr>
        <sz val="9"/>
        <color rgb="FF000000"/>
        <rFont val="Noto Sans CJK SC"/>
        <family val="2"/>
      </rPr>
      <t>차</t>
    </r>
  </si>
  <si>
    <t>가입, 동의, 권한 기본 플로우 테스트</t>
  </si>
  <si>
    <t>E2E Suite 1</t>
  </si>
  <si>
    <t>QA-01, QA-02</t>
  </si>
  <si>
    <t>4.1~4.5</t>
  </si>
  <si>
    <t>5.1</t>
  </si>
  <si>
    <r>
      <rPr>
        <b/>
        <sz val="9"/>
        <color rgb="FFF28E2B"/>
        <rFont val="맑은 고딕"/>
        <family val="3"/>
        <charset val="129"/>
      </rPr>
      <t xml:space="preserve">5.0 Sprint 2 </t>
    </r>
    <r>
      <rPr>
        <b/>
        <sz val="9"/>
        <color rgb="FFF28E2B"/>
        <rFont val="Noto Sans CJK SC"/>
        <family val="2"/>
      </rPr>
      <t>기록</t>
    </r>
    <r>
      <rPr>
        <b/>
        <sz val="9"/>
        <color rgb="FFF28E2B"/>
        <rFont val="맑은 고딕"/>
        <family val="3"/>
        <charset val="129"/>
      </rPr>
      <t>·</t>
    </r>
    <r>
      <rPr>
        <b/>
        <sz val="9"/>
        <color rgb="FFF28E2B"/>
        <rFont val="Noto Sans CJK SC"/>
        <family val="2"/>
      </rPr>
      <t>타임라인</t>
    </r>
  </si>
  <si>
    <r>
      <rPr>
        <sz val="9"/>
        <color rgb="FF000000"/>
        <rFont val="맑은 고딕"/>
        <family val="3"/>
        <charset val="129"/>
      </rPr>
      <t xml:space="preserve">FR-69 </t>
    </r>
    <r>
      <rPr>
        <sz val="9"/>
        <color rgb="FF000000"/>
        <rFont val="Noto Sans CJK SC"/>
        <family val="2"/>
      </rPr>
      <t>빠른 선택 일지</t>
    </r>
  </si>
  <si>
    <t>식사/투약/행동/정서/학습 옵션, 저장 API</t>
  </si>
  <si>
    <t>Quick Journal</t>
  </si>
  <si>
    <t>5.2</t>
  </si>
  <si>
    <t>체크리스트 입력</t>
  </si>
  <si>
    <t>일과 슬롯, 5분 단위 체크, 패턴 저장 구조</t>
  </si>
  <si>
    <t>Checklist Journal</t>
  </si>
  <si>
    <t>FE-02, BE-03</t>
  </si>
  <si>
    <t>5.3</t>
  </si>
  <si>
    <t>사진+태그 입력</t>
  </si>
  <si>
    <t>사진 5장, Quick Tags, 짧은 캡션</t>
  </si>
  <si>
    <t>Photo Journal</t>
  </si>
  <si>
    <t>FE-03, BE-03</t>
  </si>
  <si>
    <t>초급/중급</t>
  </si>
  <si>
    <t>5.4</t>
  </si>
  <si>
    <t>텍스트+OS 음성 안내</t>
  </si>
  <si>
    <t>자체 STT 없음, OS 키보드 음성 안내 UX</t>
  </si>
  <si>
    <t>Text Journal</t>
  </si>
  <si>
    <t>FE-03, UX-02</t>
  </si>
  <si>
    <t>5.5</t>
  </si>
  <si>
    <t>통합 타임라인</t>
  </si>
  <si>
    <t>생애주기 색상, RecordCategory 필터, 권한 마스킹</t>
  </si>
  <si>
    <t>Timeline</t>
  </si>
  <si>
    <t>FE-01, BE-02</t>
  </si>
  <si>
    <t>5.6</t>
  </si>
  <si>
    <t>기록 카테고리 검증</t>
  </si>
  <si>
    <r>
      <rPr>
        <sz val="9"/>
        <color rgb="FF000000"/>
        <rFont val="맑은 고딕"/>
        <family val="3"/>
        <charset val="129"/>
      </rPr>
      <t xml:space="preserve">RecordCategory[], </t>
    </r>
    <r>
      <rPr>
        <sz val="9"/>
        <color rgb="FF000000"/>
        <rFont val="Noto Sans CJK SC"/>
        <family val="2"/>
      </rPr>
      <t>민감정보 정책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필터 정확성 테스트</t>
    </r>
  </si>
  <si>
    <t>Category Test</t>
  </si>
  <si>
    <t>QA-02, PL-01</t>
  </si>
  <si>
    <t>6.1</t>
  </si>
  <si>
    <r>
      <rPr>
        <b/>
        <sz val="9"/>
        <color rgb="FFEDC948"/>
        <rFont val="맑은 고딕"/>
        <family val="3"/>
        <charset val="129"/>
      </rPr>
      <t>6.0 Sprint 3 AAC·</t>
    </r>
    <r>
      <rPr>
        <b/>
        <sz val="9"/>
        <color rgb="FFEDC948"/>
        <rFont val="Noto Sans CJK SC"/>
        <family val="2"/>
      </rPr>
      <t>인계서</t>
    </r>
    <r>
      <rPr>
        <b/>
        <sz val="9"/>
        <color rgb="FFEDC948"/>
        <rFont val="맑은 고딕"/>
        <family val="3"/>
        <charset val="129"/>
      </rPr>
      <t>·</t>
    </r>
    <r>
      <rPr>
        <b/>
        <sz val="9"/>
        <color rgb="FFEDC948"/>
        <rFont val="Noto Sans CJK SC"/>
        <family val="2"/>
      </rPr>
      <t>권한 완성</t>
    </r>
  </si>
  <si>
    <t>당사자 모드 셸</t>
  </si>
  <si>
    <t>큰글씨, TTS, 큰 카드, 되돌리기, 쉬운말</t>
  </si>
  <si>
    <t>Self Mode Shell</t>
  </si>
  <si>
    <t>FE-01, UX-01</t>
  </si>
  <si>
    <t>6.2</t>
  </si>
  <si>
    <r>
      <rPr>
        <sz val="9"/>
        <color rgb="FF000000"/>
        <rFont val="맑은 고딕"/>
        <family val="3"/>
        <charset val="129"/>
      </rPr>
      <t xml:space="preserve">AAC </t>
    </r>
    <r>
      <rPr>
        <sz val="9"/>
        <color rgb="FF000000"/>
        <rFont val="Noto Sans CJK SC"/>
        <family val="2"/>
      </rPr>
      <t xml:space="preserve">동의 </t>
    </r>
    <r>
      <rPr>
        <sz val="9"/>
        <color rgb="FF000000"/>
        <rFont val="맑은 고딕"/>
        <family val="3"/>
        <charset val="129"/>
      </rPr>
      <t>UI</t>
    </r>
  </si>
  <si>
    <r>
      <rPr>
        <sz val="9"/>
        <color rgb="FF000000"/>
        <rFont val="맑은 고딕"/>
        <family val="3"/>
        <charset val="129"/>
      </rPr>
      <t xml:space="preserve">Yes/No </t>
    </r>
    <r>
      <rPr>
        <sz val="9"/>
        <color rgb="FF000000"/>
        <rFont val="Noto Sans CJK SC"/>
        <family val="2"/>
      </rPr>
      <t>카드</t>
    </r>
    <r>
      <rPr>
        <sz val="9"/>
        <color rgb="FF000000"/>
        <rFont val="맑은 고딕"/>
        <family val="3"/>
        <charset val="129"/>
      </rPr>
      <t>, 2</t>
    </r>
    <r>
      <rPr>
        <sz val="9"/>
        <color rgb="FF000000"/>
        <rFont val="Noto Sans CJK SC"/>
        <family val="2"/>
      </rPr>
      <t>단계 확인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보호자 알림</t>
    </r>
  </si>
  <si>
    <t>AAC Consent</t>
  </si>
  <si>
    <t>6.3</t>
  </si>
  <si>
    <t>권한 부여/회수</t>
  </si>
  <si>
    <t>기간·범위·만료 D-30/D-7/D-1, 긴급 회수</t>
  </si>
  <si>
    <t>Permission Flow</t>
  </si>
  <si>
    <t>FE-02, BE-01</t>
  </si>
  <si>
    <t>6.4</t>
  </si>
  <si>
    <r>
      <rPr>
        <sz val="9"/>
        <color rgb="FF000000"/>
        <rFont val="맑은 고딕"/>
        <family val="3"/>
        <charset val="129"/>
      </rPr>
      <t>3</t>
    </r>
    <r>
      <rPr>
        <sz val="9"/>
        <color rgb="FF000000"/>
        <rFont val="Noto Sans CJK SC"/>
        <family val="2"/>
      </rPr>
      <t>분 인계서 생성</t>
    </r>
  </si>
  <si>
    <t>의료, 식사, AAC, 위험행동, 권한 범위 요약</t>
  </si>
  <si>
    <t>Handover Draft</t>
  </si>
  <si>
    <t>BE-03, FE-03</t>
  </si>
  <si>
    <t>중급/초급</t>
  </si>
  <si>
    <t>6.5</t>
  </si>
  <si>
    <t>인계서 PDF</t>
  </si>
  <si>
    <t>한글 폰트, 비밀번호 옵션, FR-68 포함 시 워터마크</t>
  </si>
  <si>
    <t>PDF Export</t>
  </si>
  <si>
    <t>BE-03, FE-01</t>
  </si>
  <si>
    <t>6.6</t>
  </si>
  <si>
    <t>권한 120셀 테스트</t>
  </si>
  <si>
    <t>정상/거부 케이스, U6 조건부 권한 포함</t>
  </si>
  <si>
    <t>Permission Test Suite</t>
  </si>
  <si>
    <t>QA-01, BE-01</t>
  </si>
  <si>
    <t>7.1</t>
  </si>
  <si>
    <r>
      <rPr>
        <b/>
        <sz val="9"/>
        <color rgb="FF76B7B2"/>
        <rFont val="맑은 고딕"/>
        <family val="3"/>
        <charset val="129"/>
      </rPr>
      <t xml:space="preserve">7.0 Sprint 4 </t>
    </r>
    <r>
      <rPr>
        <b/>
        <sz val="9"/>
        <color rgb="FF76B7B2"/>
        <rFont val="Noto Sans CJK SC"/>
        <family val="2"/>
      </rPr>
      <t>자가진단</t>
    </r>
    <r>
      <rPr>
        <b/>
        <sz val="9"/>
        <color rgb="FF76B7B2"/>
        <rFont val="맑은 고딕"/>
        <family val="3"/>
        <charset val="129"/>
      </rPr>
      <t>·</t>
    </r>
    <r>
      <rPr>
        <b/>
        <sz val="9"/>
        <color rgb="FF76B7B2"/>
        <rFont val="Noto Sans CJK SC"/>
        <family val="2"/>
      </rPr>
      <t>오프라인</t>
    </r>
    <r>
      <rPr>
        <b/>
        <sz val="9"/>
        <color rgb="FF76B7B2"/>
        <rFont val="맑은 고딕"/>
        <family val="3"/>
        <charset val="129"/>
      </rPr>
      <t>·</t>
    </r>
    <r>
      <rPr>
        <b/>
        <sz val="9"/>
        <color rgb="FF76B7B2"/>
        <rFont val="Noto Sans CJK SC"/>
        <family val="2"/>
      </rPr>
      <t>후견 인증</t>
    </r>
  </si>
  <si>
    <r>
      <rPr>
        <sz val="9"/>
        <color rgb="FF000000"/>
        <rFont val="맑은 고딕"/>
        <family val="3"/>
        <charset val="129"/>
      </rPr>
      <t xml:space="preserve">K-DST </t>
    </r>
    <r>
      <rPr>
        <sz val="9"/>
        <color rgb="FF000000"/>
        <rFont val="Noto Sans CJK SC"/>
        <family val="2"/>
      </rPr>
      <t>화면</t>
    </r>
    <r>
      <rPr>
        <sz val="9"/>
        <color rgb="FF000000"/>
        <rFont val="맑은 고딕"/>
        <family val="3"/>
        <charset val="129"/>
      </rPr>
      <t>/API</t>
    </r>
  </si>
  <si>
    <r>
      <rPr>
        <sz val="9"/>
        <color rgb="FF000000"/>
        <rFont val="맑은 고딕"/>
        <family val="3"/>
        <charset val="129"/>
      </rPr>
      <t>8</t>
    </r>
    <r>
      <rPr>
        <sz val="9"/>
        <color rgb="FF000000"/>
        <rFont val="Noto Sans CJK SC"/>
        <family val="2"/>
      </rPr>
      <t>단계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보호자 응답</t>
    </r>
    <r>
      <rPr>
        <sz val="9"/>
        <color rgb="FF000000"/>
        <rFont val="맑은 고딕"/>
        <family val="3"/>
        <charset val="129"/>
      </rPr>
      <t xml:space="preserve">, PDF, </t>
    </r>
    <r>
      <rPr>
        <sz val="9"/>
        <color rgb="FF000000"/>
        <rFont val="Noto Sans CJK SC"/>
        <family val="2"/>
      </rPr>
      <t>타임라인 등록</t>
    </r>
  </si>
  <si>
    <t>K-DST Module</t>
  </si>
  <si>
    <t>7.2</t>
  </si>
  <si>
    <r>
      <rPr>
        <sz val="9"/>
        <color rgb="FF000000"/>
        <rFont val="맑은 고딕"/>
        <family val="3"/>
        <charset val="129"/>
      </rPr>
      <t xml:space="preserve">M-CHAT-R </t>
    </r>
    <r>
      <rPr>
        <sz val="9"/>
        <color rgb="FF000000"/>
        <rFont val="Noto Sans CJK SC"/>
        <family val="2"/>
      </rPr>
      <t>화면</t>
    </r>
    <r>
      <rPr>
        <sz val="9"/>
        <color rgb="FF000000"/>
        <rFont val="맑은 고딕"/>
        <family val="3"/>
        <charset val="129"/>
      </rPr>
      <t>/API</t>
    </r>
  </si>
  <si>
    <r>
      <rPr>
        <sz val="9"/>
        <color rgb="FF000000"/>
        <rFont val="맑은 고딕"/>
        <family val="3"/>
        <charset val="129"/>
      </rPr>
      <t>16~30</t>
    </r>
    <r>
      <rPr>
        <sz val="9"/>
        <color rgb="FF000000"/>
        <rFont val="Noto Sans CJK SC"/>
        <family val="2"/>
      </rPr>
      <t>개월</t>
    </r>
    <r>
      <rPr>
        <sz val="9"/>
        <color rgb="FF000000"/>
        <rFont val="맑은 고딕"/>
        <family val="3"/>
        <charset val="129"/>
      </rPr>
      <t>, 20</t>
    </r>
    <r>
      <rPr>
        <sz val="9"/>
        <color rgb="FF000000"/>
        <rFont val="Noto Sans CJK SC"/>
        <family val="2"/>
      </rPr>
      <t>문항</t>
    </r>
    <r>
      <rPr>
        <sz val="9"/>
        <color rgb="FF000000"/>
        <rFont val="맑은 고딕"/>
        <family val="3"/>
        <charset val="129"/>
      </rPr>
      <t>, 6</t>
    </r>
    <r>
      <rPr>
        <sz val="9"/>
        <color rgb="FF000000"/>
        <rFont val="Noto Sans CJK SC"/>
        <family val="2"/>
      </rPr>
      <t>개월 재검사 옵션</t>
    </r>
  </si>
  <si>
    <t>M-CHAT-R Module</t>
  </si>
  <si>
    <t>7.3</t>
  </si>
  <si>
    <r>
      <rPr>
        <sz val="9"/>
        <color rgb="FF000000"/>
        <rFont val="맑은 고딕"/>
        <family val="3"/>
        <charset val="129"/>
      </rPr>
      <t xml:space="preserve">FR-68 </t>
    </r>
    <r>
      <rPr>
        <sz val="9"/>
        <color rgb="FF000000"/>
        <rFont val="Noto Sans CJK SC"/>
        <family val="2"/>
      </rPr>
      <t>자동 적용</t>
    </r>
  </si>
  <si>
    <t>자가진단 화면, PDF, 외부공유 모달, AI 출력 검증</t>
  </si>
  <si>
    <t>Compliance Guard</t>
  </si>
  <si>
    <t>SEC-01, FE-01, AI-01</t>
  </si>
  <si>
    <t>7.4</t>
  </si>
  <si>
    <r>
      <rPr>
        <sz val="9"/>
        <color rgb="FF000000"/>
        <rFont val="맑은 고딕"/>
        <family val="3"/>
        <charset val="129"/>
      </rPr>
      <t xml:space="preserve">AI </t>
    </r>
    <r>
      <rPr>
        <sz val="9"/>
        <color rgb="FF000000"/>
        <rFont val="Noto Sans CJK SC"/>
        <family val="2"/>
      </rPr>
      <t>추이 분석 기반</t>
    </r>
  </si>
  <si>
    <r>
      <rPr>
        <sz val="9"/>
        <color rgb="FF000000"/>
        <rFont val="맑은 고딕"/>
        <family val="3"/>
        <charset val="129"/>
      </rPr>
      <t>3</t>
    </r>
    <r>
      <rPr>
        <sz val="9"/>
        <color rgb="FF000000"/>
        <rFont val="Noto Sans CJK SC"/>
        <family val="2"/>
      </rPr>
      <t>회 이상 활성화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상승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Noto Sans CJK SC"/>
        <family val="2"/>
      </rPr>
      <t>정체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Noto Sans CJK SC"/>
        <family val="2"/>
      </rPr>
      <t>하락</t>
    </r>
    <r>
      <rPr>
        <sz val="9"/>
        <color rgb="FF000000"/>
        <rFont val="맑은 고딕"/>
        <family val="3"/>
        <charset val="129"/>
      </rPr>
      <t xml:space="preserve">, LLM </t>
    </r>
    <r>
      <rPr>
        <sz val="9"/>
        <color rgb="FF000000"/>
        <rFont val="Noto Sans CJK SC"/>
        <family val="2"/>
      </rPr>
      <t>가드레일</t>
    </r>
  </si>
  <si>
    <t>Trend Insight Base</t>
  </si>
  <si>
    <t>7.5</t>
  </si>
  <si>
    <t>오프라인 큐</t>
  </si>
  <si>
    <r>
      <rPr>
        <sz val="9"/>
        <color rgb="FF000000"/>
        <rFont val="맑은 고딕"/>
        <family val="3"/>
        <charset val="129"/>
      </rPr>
      <t xml:space="preserve">IndexedDB, Service Worker, </t>
    </r>
    <r>
      <rPr>
        <sz val="9"/>
        <color rgb="FF000000"/>
        <rFont val="Noto Sans CJK SC"/>
        <family val="2"/>
      </rPr>
      <t>동기화 상태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충돌 처리</t>
    </r>
  </si>
  <si>
    <t>Offline Queue</t>
  </si>
  <si>
    <t>7.6</t>
  </si>
  <si>
    <r>
      <rPr>
        <sz val="9"/>
        <color rgb="FF000000"/>
        <rFont val="맑은 고딕"/>
        <family val="3"/>
        <charset val="129"/>
      </rPr>
      <t xml:space="preserve">FR-71 </t>
    </r>
    <r>
      <rPr>
        <sz val="9"/>
        <color rgb="FF000000"/>
        <rFont val="Noto Sans CJK SC"/>
        <family val="2"/>
      </rPr>
      <t xml:space="preserve">후견인 얼굴 인증 </t>
    </r>
    <r>
      <rPr>
        <sz val="9"/>
        <color rgb="FF000000"/>
        <rFont val="맑은 고딕"/>
        <family val="3"/>
        <charset val="129"/>
      </rPr>
      <t>PoC</t>
    </r>
  </si>
  <si>
    <t>셀카, 라이브니스, 결정문 신분증 매칭 플로우</t>
  </si>
  <si>
    <t>Guardian Face PoC</t>
  </si>
  <si>
    <t>SEC-01, AI-01, BE-01</t>
  </si>
  <si>
    <t>8.1</t>
  </si>
  <si>
    <r>
      <rPr>
        <b/>
        <sz val="9"/>
        <color rgb="FFFF9DA7"/>
        <rFont val="맑은 고딕"/>
        <family val="3"/>
        <charset val="129"/>
      </rPr>
      <t>8.0 Sprint 5 U6·</t>
    </r>
    <r>
      <rPr>
        <b/>
        <sz val="9"/>
        <color rgb="FFFF9DA7"/>
        <rFont val="Noto Sans CJK SC"/>
        <family val="2"/>
      </rPr>
      <t>접근성</t>
    </r>
    <r>
      <rPr>
        <b/>
        <sz val="9"/>
        <color rgb="FFFF9DA7"/>
        <rFont val="맑은 고딕"/>
        <family val="3"/>
        <charset val="129"/>
      </rPr>
      <t>·</t>
    </r>
    <r>
      <rPr>
        <b/>
        <sz val="9"/>
        <color rgb="FFFF9DA7"/>
        <rFont val="Noto Sans CJK SC"/>
        <family val="2"/>
      </rPr>
      <t>알림</t>
    </r>
    <r>
      <rPr>
        <b/>
        <sz val="9"/>
        <color rgb="FFFF9DA7"/>
        <rFont val="맑은 고딕"/>
        <family val="3"/>
        <charset val="129"/>
      </rPr>
      <t>·</t>
    </r>
    <r>
      <rPr>
        <b/>
        <sz val="9"/>
        <color rgb="FFFF9DA7"/>
        <rFont val="Noto Sans CJK SC"/>
        <family val="2"/>
      </rPr>
      <t xml:space="preserve">최종 </t>
    </r>
    <r>
      <rPr>
        <b/>
        <sz val="9"/>
        <color rgb="FFFF9DA7"/>
        <rFont val="맑은 고딕"/>
        <family val="3"/>
        <charset val="129"/>
      </rPr>
      <t>UI</t>
    </r>
  </si>
  <si>
    <r>
      <rPr>
        <sz val="9"/>
        <color rgb="FF000000"/>
        <rFont val="맑은 고딕"/>
        <family val="3"/>
        <charset val="129"/>
      </rPr>
      <t xml:space="preserve">U6 </t>
    </r>
    <r>
      <rPr>
        <sz val="9"/>
        <color rgb="FF000000"/>
        <rFont val="Noto Sans CJK SC"/>
        <family val="2"/>
      </rPr>
      <t>일반교사 대시보드</t>
    </r>
  </si>
  <si>
    <t>담당 통합학생, 주간 메모, 특수교사 공유</t>
  </si>
  <si>
    <t>U6 Dashboard</t>
  </si>
  <si>
    <t>FE-03, FE-02</t>
  </si>
  <si>
    <t>8.2</t>
  </si>
  <si>
    <r>
      <rPr>
        <sz val="9"/>
        <color rgb="FF000000"/>
        <rFont val="맑은 고딕"/>
        <family val="3"/>
        <charset val="129"/>
      </rPr>
      <t xml:space="preserve">U6 </t>
    </r>
    <r>
      <rPr>
        <sz val="9"/>
        <color rgb="FF000000"/>
        <rFont val="Noto Sans CJK SC"/>
        <family val="2"/>
      </rPr>
      <t>짧은 메모</t>
    </r>
  </si>
  <si>
    <t>학급 컨텍스트 마스킹, 의료 카테고리 차단</t>
  </si>
  <si>
    <t>U6 Memo</t>
  </si>
  <si>
    <t>8.3</t>
  </si>
  <si>
    <t>알림 시스템</t>
  </si>
  <si>
    <t>권한 만료, 동의, 인계서, 자가진단 이상치</t>
  </si>
  <si>
    <t>Notification Base</t>
  </si>
  <si>
    <t>8.4</t>
  </si>
  <si>
    <t>접근성 점검</t>
  </si>
  <si>
    <r>
      <rPr>
        <sz val="9"/>
        <color rgb="FF000000"/>
        <rFont val="맑은 고딕"/>
        <family val="3"/>
        <charset val="129"/>
      </rPr>
      <t xml:space="preserve">KWCAG, </t>
    </r>
    <r>
      <rPr>
        <sz val="9"/>
        <color rgb="FF000000"/>
        <rFont val="Noto Sans CJK SC"/>
        <family val="2"/>
      </rPr>
      <t>키보드 탐색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색약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큰글씨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쉬운말</t>
    </r>
  </si>
  <si>
    <t>A11y Report</t>
  </si>
  <si>
    <t>ACC-01, QA-02, UX-01</t>
  </si>
  <si>
    <t>8.5</t>
  </si>
  <si>
    <t>모바일 반응형 검증</t>
  </si>
  <si>
    <r>
      <rPr>
        <sz val="9"/>
        <color rgb="FF000000"/>
        <rFont val="맑은 고딕"/>
        <family val="3"/>
        <charset val="129"/>
      </rPr>
      <t xml:space="preserve">iOS/Android, Safari/Chrome, PWA </t>
    </r>
    <r>
      <rPr>
        <sz val="9"/>
        <color rgb="FF000000"/>
        <rFont val="Noto Sans CJK SC"/>
        <family val="2"/>
      </rPr>
      <t>설치 안내</t>
    </r>
  </si>
  <si>
    <t>Mobile QA</t>
  </si>
  <si>
    <t>QA-02, FE-01</t>
  </si>
  <si>
    <t>8.6</t>
  </si>
  <si>
    <r>
      <rPr>
        <sz val="9"/>
        <color rgb="FF000000"/>
        <rFont val="맑은 고딕"/>
        <family val="3"/>
        <charset val="129"/>
      </rPr>
      <t xml:space="preserve">LLM </t>
    </r>
    <r>
      <rPr>
        <sz val="9"/>
        <color rgb="FF000000"/>
        <rFont val="Noto Sans CJK SC"/>
        <family val="2"/>
      </rPr>
      <t>가드레일 회귀</t>
    </r>
  </si>
  <si>
    <t>의료적 표현 금지, 정규식+샘플 출력 검사</t>
  </si>
  <si>
    <t>LLM Guard Test</t>
  </si>
  <si>
    <t>AI-01, QA-01, SEC-01</t>
  </si>
  <si>
    <t>9.1</t>
  </si>
  <si>
    <r>
      <rPr>
        <b/>
        <sz val="9"/>
        <color rgb="FFB07AA1"/>
        <rFont val="맑은 고딕"/>
        <family val="3"/>
        <charset val="129"/>
      </rPr>
      <t xml:space="preserve">9.0 Beta </t>
    </r>
    <r>
      <rPr>
        <b/>
        <sz val="9"/>
        <color rgb="FFB07AA1"/>
        <rFont val="Noto Sans CJK SC"/>
        <family val="2"/>
      </rPr>
      <t>준비</t>
    </r>
    <r>
      <rPr>
        <b/>
        <sz val="9"/>
        <color rgb="FFB07AA1"/>
        <rFont val="맑은 고딕"/>
        <family val="3"/>
        <charset val="129"/>
      </rPr>
      <t>·</t>
    </r>
    <r>
      <rPr>
        <b/>
        <sz val="9"/>
        <color rgb="FFB07AA1"/>
        <rFont val="Noto Sans CJK SC"/>
        <family val="2"/>
      </rPr>
      <t>검증</t>
    </r>
  </si>
  <si>
    <t>통합 E2E 테스트</t>
  </si>
  <si>
    <t>가입→기록→타임라인→인계서→동의→자가진단</t>
  </si>
  <si>
    <t>E2E Final</t>
  </si>
  <si>
    <t>9.2</t>
  </si>
  <si>
    <t>침투 테스트 1차</t>
  </si>
  <si>
    <r>
      <rPr>
        <sz val="9"/>
        <color rgb="FF000000"/>
        <rFont val="맑은 고딕"/>
        <family val="3"/>
        <charset val="129"/>
      </rPr>
      <t xml:space="preserve">OWASP, </t>
    </r>
    <r>
      <rPr>
        <sz val="9"/>
        <color rgb="FF000000"/>
        <rFont val="Noto Sans CJK SC"/>
        <family val="2"/>
      </rPr>
      <t>권한 우회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민감정보 접근</t>
    </r>
    <r>
      <rPr>
        <sz val="9"/>
        <color rgb="FF000000"/>
        <rFont val="맑은 고딕"/>
        <family val="3"/>
        <charset val="129"/>
      </rPr>
      <t xml:space="preserve">, Audit </t>
    </r>
    <r>
      <rPr>
        <sz val="9"/>
        <color rgb="FF000000"/>
        <rFont val="Noto Sans CJK SC"/>
        <family val="2"/>
      </rPr>
      <t>변조</t>
    </r>
  </si>
  <si>
    <t>Pen-test Report 1</t>
  </si>
  <si>
    <r>
      <rPr>
        <sz val="9"/>
        <color rgb="FF000000"/>
        <rFont val="맑은 고딕"/>
        <family val="3"/>
        <charset val="129"/>
      </rPr>
      <t xml:space="preserve">SEC-01, </t>
    </r>
    <r>
      <rPr>
        <sz val="9"/>
        <color rgb="FF000000"/>
        <rFont val="Noto Sans CJK SC"/>
        <family val="2"/>
      </rPr>
      <t>외부보안</t>
    </r>
  </si>
  <si>
    <t>9.3</t>
  </si>
  <si>
    <t>성능·부하 테스트</t>
  </si>
  <si>
    <t>동시 1,000명, API P95, PDF 생성, 로그량</t>
  </si>
  <si>
    <t>Performance Report</t>
  </si>
  <si>
    <t>DEVOPS-01, QA-01</t>
  </si>
  <si>
    <t>9.4</t>
  </si>
  <si>
    <t>운영 모니터링</t>
  </si>
  <si>
    <r>
      <rPr>
        <sz val="9"/>
        <color rgb="FF000000"/>
        <rFont val="맑은 고딕"/>
        <family val="3"/>
        <charset val="129"/>
      </rPr>
      <t xml:space="preserve">Sentry/PostHog/Uptime, </t>
    </r>
    <r>
      <rPr>
        <sz val="9"/>
        <color rgb="FF000000"/>
        <rFont val="Noto Sans CJK SC"/>
        <family val="2"/>
      </rPr>
      <t>로그 대시보드</t>
    </r>
  </si>
  <si>
    <t>Monitoring Board</t>
  </si>
  <si>
    <t>9.5</t>
  </si>
  <si>
    <t>시범 운영 온보딩</t>
  </si>
  <si>
    <t>시설 8곳, 보호자 100명, 활동지원사 50명, 일반교사 25명 초대</t>
  </si>
  <si>
    <t>Beta Onboarding Kit</t>
  </si>
  <si>
    <t>BIZ-01, PM-01</t>
  </si>
  <si>
    <t>9.6</t>
  </si>
  <si>
    <t>Beta Go/No-Go</t>
  </si>
  <si>
    <t>법무, 보안, 접근성, 핵심 KPI 계측 가능 여부 판단</t>
  </si>
  <si>
    <t>Go/No-Go Record</t>
  </si>
  <si>
    <t>PM-01, SEC-01, QA-01</t>
  </si>
  <si>
    <t>9.2~9.5</t>
  </si>
  <si>
    <t>10.1</t>
  </si>
  <si>
    <r>
      <rPr>
        <b/>
        <sz val="9"/>
        <color rgb="FF4D4D4D"/>
        <rFont val="맑은 고딕"/>
        <family val="3"/>
        <charset val="129"/>
      </rPr>
      <t xml:space="preserve">10.0 Beta </t>
    </r>
    <r>
      <rPr>
        <b/>
        <sz val="9"/>
        <color rgb="FF4D4D4D"/>
        <rFont val="Noto Sans CJK SC"/>
        <family val="2"/>
      </rPr>
      <t>운영</t>
    </r>
    <r>
      <rPr>
        <b/>
        <sz val="9"/>
        <color rgb="FF4D4D4D"/>
        <rFont val="맑은 고딕"/>
        <family val="3"/>
        <charset val="129"/>
      </rPr>
      <t>·</t>
    </r>
    <r>
      <rPr>
        <b/>
        <sz val="9"/>
        <color rgb="FF4D4D4D"/>
        <rFont val="Noto Sans CJK SC"/>
        <family val="2"/>
      </rPr>
      <t>회고</t>
    </r>
  </si>
  <si>
    <r>
      <rPr>
        <sz val="9"/>
        <color rgb="FF000000"/>
        <rFont val="맑은 고딕"/>
        <family val="3"/>
        <charset val="129"/>
      </rPr>
      <t xml:space="preserve">Beta </t>
    </r>
    <r>
      <rPr>
        <sz val="9"/>
        <color rgb="FF000000"/>
        <rFont val="Noto Sans CJK SC"/>
        <family val="2"/>
      </rPr>
      <t>운영</t>
    </r>
  </si>
  <si>
    <r>
      <rPr>
        <sz val="9"/>
        <color rgb="FF000000"/>
        <rFont val="맑은 고딕"/>
        <family val="3"/>
        <charset val="129"/>
      </rPr>
      <t>4</t>
    </r>
    <r>
      <rPr>
        <sz val="9"/>
        <color rgb="FF000000"/>
        <rFont val="Noto Sans CJK SC"/>
        <family val="2"/>
      </rPr>
      <t>주간 시범 운영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장애 대응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사용자 문의</t>
    </r>
  </si>
  <si>
    <t>운영 로그</t>
  </si>
  <si>
    <t>PM-01, DEVOPS-01, FE/BE</t>
  </si>
  <si>
    <t>10.2</t>
  </si>
  <si>
    <r>
      <rPr>
        <sz val="9"/>
        <color rgb="FF000000"/>
        <rFont val="맑은 고딕"/>
        <family val="3"/>
        <charset val="129"/>
      </rPr>
      <t xml:space="preserve">KPI </t>
    </r>
    <r>
      <rPr>
        <sz val="9"/>
        <color rgb="FF000000"/>
        <rFont val="Noto Sans CJK SC"/>
        <family val="2"/>
      </rPr>
      <t>측정</t>
    </r>
  </si>
  <si>
    <r>
      <rPr>
        <sz val="9"/>
        <color rgb="FF000000"/>
        <rFont val="맑은 고딕"/>
        <family val="3"/>
        <charset val="129"/>
      </rPr>
      <t xml:space="preserve">First Value, </t>
    </r>
    <r>
      <rPr>
        <sz val="9"/>
        <color rgb="FF000000"/>
        <rFont val="Noto Sans CJK SC"/>
        <family val="2"/>
      </rPr>
      <t>일지 작성 시간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인계서 시간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자가진단 도달</t>
    </r>
    <r>
      <rPr>
        <sz val="9"/>
        <color rgb="FF000000"/>
        <rFont val="맑은 고딕"/>
        <family val="3"/>
        <charset val="129"/>
      </rPr>
      <t>, NPS</t>
    </r>
  </si>
  <si>
    <t>KPI Report</t>
  </si>
  <si>
    <t>PM-01, QA-01</t>
  </si>
  <si>
    <t>10.3</t>
  </si>
  <si>
    <t>리빙랩 회고</t>
  </si>
  <si>
    <t>당사자/보호자/활동지원사/일반교사 피드백 수집</t>
  </si>
  <si>
    <t>Living Lab Report</t>
  </si>
  <si>
    <t>PL-01, UX-01, BIZ-01</t>
  </si>
  <si>
    <t>10.4</t>
  </si>
  <si>
    <t>개선 백로그</t>
  </si>
  <si>
    <r>
      <rPr>
        <sz val="9"/>
        <color rgb="FF000000"/>
        <rFont val="맑은 고딕"/>
        <family val="3"/>
        <charset val="129"/>
      </rPr>
      <t>Critical/Important/Minor</t>
    </r>
    <r>
      <rPr>
        <sz val="9"/>
        <color rgb="FF000000"/>
        <rFont val="Noto Sans CJK SC"/>
        <family val="2"/>
      </rPr>
      <t>로 분류</t>
    </r>
    <r>
      <rPr>
        <sz val="9"/>
        <color rgb="FF000000"/>
        <rFont val="맑은 고딕"/>
        <family val="3"/>
        <charset val="129"/>
      </rPr>
      <t xml:space="preserve">, GA 1.0 </t>
    </r>
    <r>
      <rPr>
        <sz val="9"/>
        <color rgb="FF000000"/>
        <rFont val="Noto Sans CJK SC"/>
        <family val="2"/>
      </rPr>
      <t>반영 결정</t>
    </r>
  </si>
  <si>
    <t>Backlog vNext</t>
  </si>
  <si>
    <r>
      <rPr>
        <sz val="9"/>
        <color rgb="FF000000"/>
        <rFont val="맑은 고딕"/>
        <family val="3"/>
        <charset val="129"/>
      </rPr>
      <t xml:space="preserve">PM-01, </t>
    </r>
    <r>
      <rPr>
        <sz val="9"/>
        <color rgb="FF000000"/>
        <rFont val="Noto Sans CJK SC"/>
        <family val="2"/>
      </rPr>
      <t xml:space="preserve">각 </t>
    </r>
    <r>
      <rPr>
        <sz val="9"/>
        <color rgb="FF000000"/>
        <rFont val="맑은 고딕"/>
        <family val="3"/>
        <charset val="129"/>
      </rPr>
      <t>Lead</t>
    </r>
  </si>
  <si>
    <t>10.5</t>
  </si>
  <si>
    <r>
      <rPr>
        <sz val="9"/>
        <color rgb="FF000000"/>
        <rFont val="맑은 고딕"/>
        <family val="3"/>
        <charset val="129"/>
      </rPr>
      <t xml:space="preserve">MVP Beta </t>
    </r>
    <r>
      <rPr>
        <sz val="9"/>
        <color rgb="FF000000"/>
        <rFont val="Noto Sans CJK SC"/>
        <family val="2"/>
      </rPr>
      <t>종료 보고</t>
    </r>
  </si>
  <si>
    <t>산출물, 지표, 리스크, 예산, 다음 단계 정리</t>
  </si>
  <si>
    <t>Beta Closing Report</t>
  </si>
  <si>
    <t>합계</t>
  </si>
  <si>
    <r>
      <rPr>
        <b/>
        <sz val="14"/>
        <color rgb="FFFFFFFF"/>
        <rFont val="맑은 고딕"/>
        <family val="3"/>
        <charset val="129"/>
      </rPr>
      <t xml:space="preserve">Recordare </t>
    </r>
    <r>
      <rPr>
        <b/>
        <sz val="14"/>
        <color rgb="FFFFFFFF"/>
        <rFont val="Noto Sans CJK SC"/>
        <family val="2"/>
      </rPr>
      <t xml:space="preserve">간트차트 </t>
    </r>
    <r>
      <rPr>
        <b/>
        <sz val="14"/>
        <color rgb="FFFFFFFF"/>
        <rFont val="맑은 고딕"/>
        <family val="3"/>
        <charset val="129"/>
      </rPr>
      <t xml:space="preserve">(WBS </t>
    </r>
    <r>
      <rPr>
        <b/>
        <sz val="14"/>
        <color rgb="FFFFFFFF"/>
        <rFont val="Noto Sans CJK SC"/>
        <family val="2"/>
      </rPr>
      <t>일정 연동</t>
    </r>
    <r>
      <rPr>
        <b/>
        <sz val="14"/>
        <color rgb="FFFFFFFF"/>
        <rFont val="맑은 고딕"/>
        <family val="3"/>
        <charset val="129"/>
      </rPr>
      <t>)</t>
    </r>
  </si>
  <si>
    <t>막대는 WBS 시트의 시작일/종료일에 연동됩니다 · 색상 = 단계</t>
  </si>
  <si>
    <t>Ph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</si>
  <si>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</si>
  <si>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</si>
  <si>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</si>
  <si>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</si>
  <si>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</si>
  <si>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</si>
  <si>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</si>
  <si>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</si>
  <si>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</si>
  <si>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</si>
  <si>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</si>
  <si>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</si>
  <si>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</si>
  <si>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</si>
  <si>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</si>
  <si>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</si>
  <si>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</si>
  <si>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</si>
  <si>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</si>
  <si>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</si>
  <si>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</si>
  <si>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</si>
  <si>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</si>
  <si>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</si>
  <si>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주차 시작일 →</t>
  </si>
  <si>
    <t>마일스톤</t>
  </si>
  <si>
    <t>M0</t>
  </si>
  <si>
    <t>M1</t>
  </si>
  <si>
    <t>M2</t>
  </si>
  <si>
    <t>M3</t>
  </si>
  <si>
    <t>M4</t>
  </si>
  <si>
    <t>M5</t>
  </si>
  <si>
    <t>M6</t>
  </si>
  <si>
    <t>M7</t>
  </si>
  <si>
    <t>단계 색상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</si>
  <si>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</si>
  <si>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</si>
  <si>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</si>
  <si>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</si>
  <si>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</si>
  <si>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</si>
  <si>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</si>
  <si>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</si>
  <si>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</si>
  <si>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</si>
  <si>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목표주</t>
  </si>
  <si>
    <t>완료 기준</t>
  </si>
  <si>
    <r>
      <rPr>
        <sz val="9"/>
        <color rgb="FF000000"/>
        <rFont val="맑은 고딕"/>
        <family val="3"/>
        <charset val="129"/>
      </rPr>
      <t xml:space="preserve">Kickoff </t>
    </r>
    <r>
      <rPr>
        <sz val="9"/>
        <color rgb="FF000000"/>
        <rFont val="Noto Sans CJK SC"/>
        <family val="2"/>
      </rPr>
      <t>완료</t>
    </r>
  </si>
  <si>
    <t>범위·인력·리스크 등록 완료</t>
  </si>
  <si>
    <r>
      <rPr>
        <sz val="9"/>
        <color rgb="FF000000"/>
        <rFont val="맑은 고딕"/>
        <family val="3"/>
        <charset val="129"/>
      </rPr>
      <t xml:space="preserve">Design </t>
    </r>
    <r>
      <rPr>
        <sz val="9"/>
        <color rgb="FF000000"/>
        <rFont val="Noto Sans CJK SC"/>
        <family val="2"/>
      </rPr>
      <t>승인</t>
    </r>
  </si>
  <si>
    <r>
      <rPr>
        <sz val="9"/>
        <color rgb="FF000000"/>
        <rFont val="맑은 고딕"/>
        <family val="3"/>
        <charset val="129"/>
      </rPr>
      <t xml:space="preserve">ERD, API, </t>
    </r>
    <r>
      <rPr>
        <sz val="9"/>
        <color rgb="FF000000"/>
        <rFont val="Noto Sans CJK SC"/>
        <family val="2"/>
      </rPr>
      <t>권한 정책</t>
    </r>
    <r>
      <rPr>
        <sz val="9"/>
        <color rgb="FF000000"/>
        <rFont val="맑은 고딕"/>
        <family val="3"/>
        <charset val="129"/>
      </rPr>
      <t xml:space="preserve">, Design Anchor </t>
    </r>
    <r>
      <rPr>
        <sz val="9"/>
        <color rgb="FF000000"/>
        <rFont val="Noto Sans CJK SC"/>
        <family val="2"/>
      </rPr>
      <t>승인</t>
    </r>
  </si>
  <si>
    <r>
      <rPr>
        <sz val="9"/>
        <color rgb="FF000000"/>
        <rFont val="맑은 고딕"/>
        <family val="3"/>
        <charset val="129"/>
      </rPr>
      <t xml:space="preserve">Core Flow </t>
    </r>
    <r>
      <rPr>
        <sz val="9"/>
        <color rgb="FF000000"/>
        <rFont val="Noto Sans CJK SC"/>
        <family val="2"/>
      </rPr>
      <t>시연</t>
    </r>
  </si>
  <si>
    <t>가입→권한→기록→타임라인 E2E</t>
  </si>
  <si>
    <r>
      <rPr>
        <sz val="9"/>
        <color rgb="FF000000"/>
        <rFont val="맑은 고딕"/>
        <family val="3"/>
        <charset val="129"/>
      </rPr>
      <t xml:space="preserve">Handover/AAC </t>
    </r>
    <r>
      <rPr>
        <sz val="9"/>
        <color rgb="FF000000"/>
        <rFont val="Noto Sans CJK SC"/>
        <family val="2"/>
      </rPr>
      <t>시연</t>
    </r>
  </si>
  <si>
    <r>
      <rPr>
        <sz val="9"/>
        <color rgb="FF000000"/>
        <rFont val="맑은 고딕"/>
        <family val="3"/>
        <charset val="129"/>
      </rPr>
      <t xml:space="preserve">AAC </t>
    </r>
    <r>
      <rPr>
        <sz val="9"/>
        <color rgb="FF000000"/>
        <rFont val="Noto Sans CJK SC"/>
        <family val="2"/>
      </rPr>
      <t>동의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 xml:space="preserve">인계서 </t>
    </r>
    <r>
      <rPr>
        <sz val="9"/>
        <color rgb="FF000000"/>
        <rFont val="맑은 고딕"/>
        <family val="3"/>
        <charset val="129"/>
      </rPr>
      <t xml:space="preserve">PDF, </t>
    </r>
    <r>
      <rPr>
        <sz val="9"/>
        <color rgb="FF000000"/>
        <rFont val="Noto Sans CJK SC"/>
        <family val="2"/>
      </rPr>
      <t>권한 테스트 통과</t>
    </r>
  </si>
  <si>
    <r>
      <rPr>
        <sz val="9"/>
        <color rgb="FF000000"/>
        <rFont val="맑은 고딕"/>
        <family val="3"/>
        <charset val="129"/>
      </rPr>
      <t xml:space="preserve">Screening/Offline </t>
    </r>
    <r>
      <rPr>
        <sz val="9"/>
        <color rgb="FF000000"/>
        <rFont val="Noto Sans CJK SC"/>
        <family val="2"/>
      </rPr>
      <t>시연</t>
    </r>
  </si>
  <si>
    <r>
      <rPr>
        <sz val="9"/>
        <color rgb="FF000000"/>
        <rFont val="맑은 고딕"/>
        <family val="3"/>
        <charset val="129"/>
      </rPr>
      <t xml:space="preserve">K-DST, M-CHAT-R, AI </t>
    </r>
    <r>
      <rPr>
        <sz val="9"/>
        <color rgb="FF000000"/>
        <rFont val="Noto Sans CJK SC"/>
        <family val="2"/>
      </rPr>
      <t>추이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오프라인 큐</t>
    </r>
  </si>
  <si>
    <r>
      <rPr>
        <sz val="9"/>
        <color rgb="FF000000"/>
        <rFont val="맑은 고딕"/>
        <family val="3"/>
        <charset val="129"/>
      </rPr>
      <t xml:space="preserve">U6/A11y </t>
    </r>
    <r>
      <rPr>
        <sz val="9"/>
        <color rgb="FF000000"/>
        <rFont val="Noto Sans CJK SC"/>
        <family val="2"/>
      </rPr>
      <t>완료</t>
    </r>
  </si>
  <si>
    <t>일반교사 화면, 접근성 1차 통과</t>
  </si>
  <si>
    <t>보안·법무·E2E·KPI 계측 기준 통과</t>
  </si>
  <si>
    <r>
      <rPr>
        <sz val="9"/>
        <color rgb="FF000000"/>
        <rFont val="맑은 고딕"/>
        <family val="3"/>
        <charset val="129"/>
      </rPr>
      <t xml:space="preserve">Beta </t>
    </r>
    <r>
      <rPr>
        <sz val="9"/>
        <color rgb="FF000000"/>
        <rFont val="Noto Sans CJK SC"/>
        <family val="2"/>
      </rPr>
      <t>운영 회고</t>
    </r>
  </si>
  <si>
    <r>
      <rPr>
        <sz val="9"/>
        <color rgb="FF000000"/>
        <rFont val="맑은 고딕"/>
        <family val="3"/>
        <charset val="129"/>
      </rPr>
      <t xml:space="preserve">KPI Report, Living Lab Report, GA </t>
    </r>
    <r>
      <rPr>
        <sz val="9"/>
        <color rgb="FF000000"/>
        <rFont val="Noto Sans CJK SC"/>
        <family val="2"/>
      </rPr>
      <t>백로그</t>
    </r>
  </si>
  <si>
    <r>
      <rPr>
        <b/>
        <sz val="11"/>
        <color rgb="FFFFFFFF"/>
        <rFont val="맑은 고딕"/>
        <family val="3"/>
        <charset val="129"/>
      </rPr>
      <t xml:space="preserve">FR </t>
    </r>
    <r>
      <rPr>
        <b/>
        <sz val="11"/>
        <color rgb="FFFFFFFF"/>
        <rFont val="Noto Sans CJK SC"/>
        <family val="2"/>
      </rPr>
      <t>기준 추적 매트릭스</t>
    </r>
  </si>
  <si>
    <t>FR/NFR</t>
  </si>
  <si>
    <t>관련 WBS</t>
  </si>
  <si>
    <t>담당 리드</t>
  </si>
  <si>
    <r>
      <rPr>
        <sz val="9"/>
        <color rgb="FF000000"/>
        <rFont val="맑은 고딕"/>
        <family val="3"/>
        <charset val="129"/>
      </rPr>
      <t xml:space="preserve">FR-01 </t>
    </r>
    <r>
      <rPr>
        <sz val="9"/>
        <color rgb="FF000000"/>
        <rFont val="Noto Sans CJK SC"/>
        <family val="2"/>
      </rPr>
      <t>계정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Noto Sans CJK SC"/>
        <family val="2"/>
      </rPr>
      <t>가입</t>
    </r>
  </si>
  <si>
    <t>4.1, 4.2</t>
  </si>
  <si>
    <r>
      <rPr>
        <sz val="9"/>
        <color rgb="FF000000"/>
        <rFont val="맑은 고딕"/>
        <family val="3"/>
        <charset val="129"/>
      </rPr>
      <t xml:space="preserve">FR-02 </t>
    </r>
    <r>
      <rPr>
        <sz val="9"/>
        <color rgb="FF000000"/>
        <rFont val="Noto Sans CJK SC"/>
        <family val="2"/>
      </rPr>
      <t>권한 매트릭스</t>
    </r>
  </si>
  <si>
    <t>2.4, 4.4, 6.3, 6.6</t>
  </si>
  <si>
    <r>
      <rPr>
        <sz val="9"/>
        <color rgb="FF000000"/>
        <rFont val="맑은 고딕"/>
        <family val="3"/>
        <charset val="129"/>
      </rPr>
      <t xml:space="preserve">FR-05 </t>
    </r>
    <r>
      <rPr>
        <sz val="9"/>
        <color rgb="FF000000"/>
        <rFont val="Noto Sans CJK SC"/>
        <family val="2"/>
      </rPr>
      <t>빠른 선택 일지</t>
    </r>
  </si>
  <si>
    <r>
      <rPr>
        <sz val="9"/>
        <color rgb="FF000000"/>
        <rFont val="맑은 고딕"/>
        <family val="3"/>
        <charset val="129"/>
      </rPr>
      <t xml:space="preserve">FR-06 </t>
    </r>
    <r>
      <rPr>
        <sz val="9"/>
        <color rgb="FF000000"/>
        <rFont val="Noto Sans CJK SC"/>
        <family val="2"/>
      </rPr>
      <t>사진 기록</t>
    </r>
  </si>
  <si>
    <r>
      <rPr>
        <sz val="9"/>
        <color rgb="FF000000"/>
        <rFont val="맑은 고딕"/>
        <family val="3"/>
        <charset val="129"/>
      </rPr>
      <t xml:space="preserve">FR-08 </t>
    </r>
    <r>
      <rPr>
        <sz val="9"/>
        <color rgb="FF000000"/>
        <rFont val="Noto Sans CJK SC"/>
        <family val="2"/>
      </rPr>
      <t>타임라인</t>
    </r>
  </si>
  <si>
    <r>
      <rPr>
        <sz val="9"/>
        <color rgb="FF000000"/>
        <rFont val="맑은 고딕"/>
        <family val="3"/>
        <charset val="129"/>
      </rPr>
      <t xml:space="preserve">FR-09 / FR-43 </t>
    </r>
    <r>
      <rPr>
        <sz val="9"/>
        <color rgb="FF000000"/>
        <rFont val="Noto Sans CJK SC"/>
        <family val="2"/>
      </rPr>
      <t>인계서</t>
    </r>
    <r>
      <rPr>
        <sz val="9"/>
        <color rgb="FF000000"/>
        <rFont val="맑은 고딕"/>
        <family val="3"/>
        <charset val="129"/>
      </rPr>
      <t>·PDF</t>
    </r>
  </si>
  <si>
    <t>6.4, 6.5</t>
  </si>
  <si>
    <r>
      <rPr>
        <sz val="9"/>
        <color rgb="FF000000"/>
        <rFont val="맑은 고딕"/>
        <family val="3"/>
        <charset val="129"/>
      </rPr>
      <t>FR-11, FR-17~19 AAC/</t>
    </r>
    <r>
      <rPr>
        <sz val="9"/>
        <color rgb="FF000000"/>
        <rFont val="Noto Sans CJK SC"/>
        <family val="2"/>
      </rPr>
      <t xml:space="preserve">당사자 </t>
    </r>
    <r>
      <rPr>
        <sz val="9"/>
        <color rgb="FF000000"/>
        <rFont val="맑은 고딕"/>
        <family val="3"/>
        <charset val="129"/>
      </rPr>
      <t>UI</t>
    </r>
  </si>
  <si>
    <t>6.1, 6.2</t>
  </si>
  <si>
    <r>
      <rPr>
        <sz val="9"/>
        <color rgb="FF000000"/>
        <rFont val="맑은 고딕"/>
        <family val="3"/>
        <charset val="129"/>
      </rPr>
      <t xml:space="preserve">FR-13~15 </t>
    </r>
    <r>
      <rPr>
        <sz val="9"/>
        <color rgb="FF000000"/>
        <rFont val="Noto Sans CJK SC"/>
        <family val="2"/>
      </rPr>
      <t>보안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민감정보</t>
    </r>
  </si>
  <si>
    <t>4.3, 4.5, 9.2</t>
  </si>
  <si>
    <r>
      <rPr>
        <sz val="9"/>
        <color rgb="FF000000"/>
        <rFont val="맑은 고딕"/>
        <family val="3"/>
        <charset val="129"/>
      </rPr>
      <t xml:space="preserve">FR-16 </t>
    </r>
    <r>
      <rPr>
        <sz val="9"/>
        <color rgb="FF000000"/>
        <rFont val="Noto Sans CJK SC"/>
        <family val="2"/>
      </rPr>
      <t>접근성</t>
    </r>
  </si>
  <si>
    <t>8.4, 8.5</t>
  </si>
  <si>
    <r>
      <rPr>
        <sz val="9"/>
        <color rgb="FF000000"/>
        <rFont val="맑은 고딕"/>
        <family val="3"/>
        <charset val="129"/>
      </rPr>
      <t xml:space="preserve">FR-25~26 </t>
    </r>
    <r>
      <rPr>
        <sz val="9"/>
        <color rgb="FF000000"/>
        <rFont val="Noto Sans CJK SC"/>
        <family val="2"/>
      </rPr>
      <t>온보딩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마이그레이션</t>
    </r>
  </si>
  <si>
    <t>4.2, 5.5</t>
  </si>
  <si>
    <r>
      <rPr>
        <sz val="9"/>
        <color rgb="FF000000"/>
        <rFont val="맑은 고딕"/>
        <family val="3"/>
        <charset val="129"/>
      </rPr>
      <t xml:space="preserve">FR-30~32 </t>
    </r>
    <r>
      <rPr>
        <sz val="9"/>
        <color rgb="FF000000"/>
        <rFont val="Noto Sans CJK SC"/>
        <family val="2"/>
      </rPr>
      <t>오프라인</t>
    </r>
  </si>
  <si>
    <r>
      <rPr>
        <sz val="9"/>
        <color rgb="FF000000"/>
        <rFont val="맑은 고딕"/>
        <family val="3"/>
        <charset val="129"/>
      </rPr>
      <t xml:space="preserve">FR-35 </t>
    </r>
    <r>
      <rPr>
        <sz val="9"/>
        <color rgb="FF000000"/>
        <rFont val="Noto Sans CJK SC"/>
        <family val="2"/>
      </rPr>
      <t>알림</t>
    </r>
  </si>
  <si>
    <r>
      <rPr>
        <sz val="9"/>
        <color rgb="FF000000"/>
        <rFont val="맑은 고딕"/>
        <family val="3"/>
        <charset val="129"/>
      </rPr>
      <t xml:space="preserve">FR-40 </t>
    </r>
    <r>
      <rPr>
        <sz val="9"/>
        <color rgb="FF000000"/>
        <rFont val="Noto Sans CJK SC"/>
        <family val="2"/>
      </rPr>
      <t>쉬운말</t>
    </r>
  </si>
  <si>
    <t>6.1, 8.4</t>
  </si>
  <si>
    <r>
      <rPr>
        <sz val="9"/>
        <color rgb="FF000000"/>
        <rFont val="맑은 고딕"/>
        <family val="3"/>
        <charset val="129"/>
      </rPr>
      <t xml:space="preserve">FR-62~63 </t>
    </r>
    <r>
      <rPr>
        <sz val="9"/>
        <color rgb="FF000000"/>
        <rFont val="Noto Sans CJK SC"/>
        <family val="2"/>
      </rPr>
      <t>자가진단</t>
    </r>
  </si>
  <si>
    <t>7.1, 7.2</t>
  </si>
  <si>
    <r>
      <rPr>
        <sz val="9"/>
        <color rgb="FF000000"/>
        <rFont val="맑은 고딕"/>
        <family val="3"/>
        <charset val="129"/>
      </rPr>
      <t xml:space="preserve">FR-67 AI </t>
    </r>
    <r>
      <rPr>
        <sz val="9"/>
        <color rgb="FF000000"/>
        <rFont val="Noto Sans CJK SC"/>
        <family val="2"/>
      </rPr>
      <t>추이</t>
    </r>
  </si>
  <si>
    <t>7.4, 8.6</t>
  </si>
  <si>
    <r>
      <rPr>
        <sz val="9"/>
        <color rgb="FF000000"/>
        <rFont val="맑은 고딕"/>
        <family val="3"/>
        <charset val="129"/>
      </rPr>
      <t xml:space="preserve">FR-68 </t>
    </r>
    <r>
      <rPr>
        <sz val="9"/>
        <color rgb="FF000000"/>
        <rFont val="Noto Sans CJK SC"/>
        <family val="2"/>
      </rPr>
      <t>면책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가드레일</t>
    </r>
  </si>
  <si>
    <t>3.4, 7.3, 8.6</t>
  </si>
  <si>
    <r>
      <rPr>
        <sz val="9"/>
        <color rgb="FF000000"/>
        <rFont val="맑은 고딕"/>
        <family val="3"/>
        <charset val="129"/>
      </rPr>
      <t xml:space="preserve">FR-69 </t>
    </r>
    <r>
      <rPr>
        <sz val="9"/>
        <color rgb="FF000000"/>
        <rFont val="Noto Sans CJK SC"/>
        <family val="2"/>
      </rPr>
      <t>다중 입력</t>
    </r>
  </si>
  <si>
    <t>3.6, 5.1~5.4</t>
  </si>
  <si>
    <r>
      <rPr>
        <sz val="9"/>
        <color rgb="FF000000"/>
        <rFont val="맑은 고딕"/>
        <family val="3"/>
        <charset val="129"/>
      </rPr>
      <t xml:space="preserve">FR-71 </t>
    </r>
    <r>
      <rPr>
        <sz val="9"/>
        <color rgb="FF000000"/>
        <rFont val="Noto Sans CJK SC"/>
        <family val="2"/>
      </rPr>
      <t>후견인 얼굴 인증</t>
    </r>
  </si>
  <si>
    <r>
      <rPr>
        <sz val="9"/>
        <color rgb="FF000000"/>
        <rFont val="맑은 고딕"/>
        <family val="3"/>
        <charset val="129"/>
      </rPr>
      <t xml:space="preserve">FR-72~73 U6 </t>
    </r>
    <r>
      <rPr>
        <sz val="9"/>
        <color rgb="FF000000"/>
        <rFont val="Noto Sans CJK SC"/>
        <family val="2"/>
      </rPr>
      <t>일반교사</t>
    </r>
  </si>
  <si>
    <t>8.1, 8.2</t>
  </si>
  <si>
    <r>
      <rPr>
        <sz val="9"/>
        <color rgb="FF000000"/>
        <rFont val="맑은 고딕"/>
        <family val="3"/>
        <charset val="129"/>
      </rPr>
      <t xml:space="preserve">NFR-01 </t>
    </r>
    <r>
      <rPr>
        <sz val="9"/>
        <color rgb="FF000000"/>
        <rFont val="Noto Sans CJK SC"/>
        <family val="2"/>
      </rPr>
      <t>성능</t>
    </r>
  </si>
  <si>
    <r>
      <rPr>
        <sz val="9"/>
        <color rgb="FF000000"/>
        <rFont val="맑은 고딕"/>
        <family val="3"/>
        <charset val="129"/>
      </rPr>
      <t xml:space="preserve">NFR-05/NFR-09 </t>
    </r>
    <r>
      <rPr>
        <sz val="9"/>
        <color rgb="FF000000"/>
        <rFont val="Noto Sans CJK SC"/>
        <family val="2"/>
      </rPr>
      <t>접근성</t>
    </r>
  </si>
  <si>
    <r>
      <rPr>
        <sz val="9"/>
        <color rgb="FF000000"/>
        <rFont val="맑은 고딕"/>
        <family val="3"/>
        <charset val="129"/>
      </rPr>
      <t xml:space="preserve">NFR-07 </t>
    </r>
    <r>
      <rPr>
        <sz val="9"/>
        <color rgb="FF000000"/>
        <rFont val="Noto Sans CJK SC"/>
        <family val="2"/>
      </rPr>
      <t>데이터 보존</t>
    </r>
  </si>
  <si>
    <t>4.5, 9.2</t>
  </si>
  <si>
    <t>핵심 리스크 및 대응</t>
  </si>
  <si>
    <t>리스크</t>
  </si>
  <si>
    <t>영향</t>
  </si>
  <si>
    <t>대응 WBS</t>
  </si>
  <si>
    <t>의료법상 자가진단 오인</t>
  </si>
  <si>
    <t>출시 차단</t>
  </si>
  <si>
    <t>2.6, 3.4, 7.3, 8.6, 9.2</t>
  </si>
  <si>
    <t>개인정보 분리 동의 미흡</t>
  </si>
  <si>
    <t>4.3, 9.2</t>
  </si>
  <si>
    <t>권한 매트릭스 누락</t>
  </si>
  <si>
    <t>고위험</t>
  </si>
  <si>
    <t>2.4, 4.4, 6.6</t>
  </si>
  <si>
    <r>
      <rPr>
        <sz val="9"/>
        <color rgb="FF000000"/>
        <rFont val="맑은 고딕"/>
        <family val="3"/>
        <charset val="129"/>
      </rPr>
      <t xml:space="preserve">Audit Log </t>
    </r>
    <r>
      <rPr>
        <sz val="9"/>
        <color rgb="FF000000"/>
        <rFont val="Noto Sans CJK SC"/>
        <family val="2"/>
      </rPr>
      <t>무결성 부족</t>
    </r>
  </si>
  <si>
    <r>
      <rPr>
        <sz val="9"/>
        <color rgb="FF000000"/>
        <rFont val="맑은 고딕"/>
        <family val="3"/>
        <charset val="129"/>
      </rPr>
      <t xml:space="preserve">FR-69 </t>
    </r>
    <r>
      <rPr>
        <sz val="9"/>
        <color rgb="FF000000"/>
        <rFont val="Noto Sans CJK SC"/>
        <family val="2"/>
      </rPr>
      <t>사용성 미달</t>
    </r>
  </si>
  <si>
    <t>핵심 가치 저하</t>
  </si>
  <si>
    <t>3.6, 5.1, 5.2</t>
  </si>
  <si>
    <r>
      <rPr>
        <sz val="9"/>
        <color rgb="FF000000"/>
        <rFont val="맑은 고딕"/>
        <family val="3"/>
        <charset val="129"/>
      </rPr>
      <t xml:space="preserve">PWA/iOS </t>
    </r>
    <r>
      <rPr>
        <sz val="9"/>
        <color rgb="FF000000"/>
        <rFont val="Noto Sans CJK SC"/>
        <family val="2"/>
      </rPr>
      <t>동기화 제약</t>
    </r>
  </si>
  <si>
    <t>사용성 저하</t>
  </si>
  <si>
    <t>7.5, 8.5</t>
  </si>
  <si>
    <t>시범 시설 모집 실패</t>
  </si>
  <si>
    <t>검증 지연</t>
  </si>
  <si>
    <t>1.5, 9.5</t>
  </si>
  <si>
    <r>
      <rPr>
        <sz val="9"/>
        <color rgb="FF000000"/>
        <rFont val="맑은 고딕"/>
        <family val="3"/>
        <charset val="129"/>
      </rPr>
      <t xml:space="preserve">U6 </t>
    </r>
    <r>
      <rPr>
        <sz val="9"/>
        <color rgb="FF000000"/>
        <rFont val="Noto Sans CJK SC"/>
        <family val="2"/>
      </rPr>
      <t>일반교사 개인정보 입력 위험</t>
    </r>
  </si>
  <si>
    <t>법적/학교 신뢰 리스크</t>
  </si>
  <si>
    <t>8.1, 8.2, 6.6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</si>
</sst>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0">
    <font>
      <sz val="11"/>
      <color theme="1"/>
      <name val="Calibri"/>
      <family val="2"/>
      <charset val="1"/>
    </font>
    <font>
      <b/>
      <sz val="18"/>
      <color rgb="FFFFFFFF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FFFFFF"/>
      <name val="Noto Sans CJK SC"/>
      <family val="2"/>
    </font>
    <font>
      <b/>
      <sz val="11"/>
      <color rgb="FFFFFFFF"/>
      <name val="맑은 고딕"/>
      <family val="3"/>
      <charset val="129"/>
    </font>
    <font>
      <b/>
      <sz val="11"/>
      <color rgb="FFFFFFFF"/>
      <name val="Noto Sans CJK SC"/>
      <family val="2"/>
    </font>
    <font>
      <b/>
      <sz val="10"/>
      <color rgb="FFFFFFFF"/>
      <name val="Noto Sans CJK SC"/>
      <family val="2"/>
      <charset val="1"/>
    </font>
    <font>
      <sz val="9"/>
      <color rgb="FF000000"/>
      <name val="Noto Sans CJK SC"/>
      <family val="2"/>
      <charset val="1"/>
    </font>
    <font>
      <sz val="9"/>
      <color rgb="FF000000"/>
      <name val="맑은 고딕"/>
      <family val="3"/>
      <charset val="129"/>
    </font>
    <font>
      <sz val="9"/>
      <color rgb="FF000000"/>
      <name val="Noto Sans CJK SC"/>
      <family val="2"/>
    </font>
    <font>
      <b/>
      <sz val="10"/>
      <color rgb="FFFFFFFF"/>
      <name val="맑은 고딕"/>
      <family val="3"/>
      <charset val="129"/>
    </font>
    <font>
      <b/>
      <sz val="15"/>
      <color rgb="FFFFFFFF"/>
      <name val="Noto Sans CJK SC"/>
      <family val="2"/>
      <charset val="1"/>
    </font>
    <font>
      <b/>
      <sz val="14"/>
      <color rgb="FFFFFFFF"/>
      <name val="맑은 고딕"/>
      <family val="3"/>
      <charset val="129"/>
    </font>
    <font>
      <b/>
      <sz val="14"/>
      <color rgb="FFFFFFFF"/>
      <name val="Noto Sans CJK SC"/>
      <family val="2"/>
    </font>
    <font>
      <b/>
      <sz val="10"/>
      <color rgb="FF000000"/>
      <name val="Noto Sans CJK SC"/>
      <family val="2"/>
      <charset val="1"/>
    </font>
    <font>
      <b/>
      <sz val="10"/>
      <color rgb="FF0000FF"/>
      <name val="맑은 고딕"/>
      <family val="3"/>
      <charset val="129"/>
    </font>
    <font>
      <sz val="9"/>
      <color rgb="FF555555"/>
      <name val="Noto Sans CJK SC"/>
      <family val="2"/>
      <charset val="1"/>
    </font>
    <font>
      <b/>
      <sz val="9"/>
      <color rgb="FFFFFFFF"/>
      <name val="맑은 고딕"/>
      <family val="3"/>
      <charset val="129"/>
    </font>
    <font>
      <b/>
      <sz val="9"/>
      <color rgb="FFFFFFFF"/>
      <name val="Noto Sans CJK SC"/>
      <family val="2"/>
      <charset val="1"/>
    </font>
    <font>
      <b/>
      <sz val="9"/>
      <color rgb="FF4E79A7"/>
      <name val="맑은 고딕"/>
      <family val="3"/>
      <charset val="129"/>
    </font>
    <font>
      <b/>
      <sz val="9"/>
      <color rgb="FF4E79A7"/>
      <name val="Noto Sans CJK SC"/>
      <family val="2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b/>
      <sz val="9"/>
      <color rgb="FF59A14F"/>
      <name val="맑은 고딕"/>
      <family val="3"/>
      <charset val="129"/>
    </font>
    <font>
      <b/>
      <sz val="9"/>
      <color rgb="FF59A14F"/>
      <name val="Noto Sans CJK SC"/>
      <family val="2"/>
    </font>
    <font>
      <b/>
      <sz val="9"/>
      <color rgb="FF9C6ADE"/>
      <name val="맑은 고딕"/>
      <family val="3"/>
      <charset val="129"/>
    </font>
    <font>
      <b/>
      <sz val="9"/>
      <color rgb="FF9C6ADE"/>
      <name val="Noto Sans CJK SC"/>
      <family val="2"/>
    </font>
    <font>
      <b/>
      <sz val="9"/>
      <color rgb="FFE15759"/>
      <name val="맑은 고딕"/>
      <family val="3"/>
      <charset val="129"/>
    </font>
    <font>
      <b/>
      <sz val="9"/>
      <color rgb="FFE15759"/>
      <name val="Noto Sans CJK SC"/>
      <family val="2"/>
    </font>
    <font>
      <b/>
      <sz val="9"/>
      <color rgb="FFF28E2B"/>
      <name val="맑은 고딕"/>
      <family val="3"/>
      <charset val="129"/>
    </font>
    <font>
      <b/>
      <sz val="9"/>
      <color rgb="FFF28E2B"/>
      <name val="Noto Sans CJK SC"/>
      <family val="2"/>
    </font>
    <font>
      <b/>
      <sz val="9"/>
      <color rgb="FFEDC948"/>
      <name val="맑은 고딕"/>
      <family val="3"/>
      <charset val="129"/>
    </font>
    <font>
      <b/>
      <sz val="9"/>
      <color rgb="FFEDC948"/>
      <name val="Noto Sans CJK SC"/>
      <family val="2"/>
    </font>
    <font>
      <b/>
      <sz val="9"/>
      <color rgb="FF76B7B2"/>
      <name val="맑은 고딕"/>
      <family val="3"/>
      <charset val="129"/>
    </font>
    <font>
      <b/>
      <sz val="9"/>
      <color rgb="FF76B7B2"/>
      <name val="Noto Sans CJK SC"/>
      <family val="2"/>
    </font>
    <font>
      <b/>
      <sz val="9"/>
      <color rgb="FFFF9DA7"/>
      <name val="맑은 고딕"/>
      <family val="3"/>
      <charset val="129"/>
    </font>
    <font>
      <b/>
      <sz val="9"/>
      <color rgb="FFFF9DA7"/>
      <name val="Noto Sans CJK SC"/>
      <family val="2"/>
    </font>
    <font>
      <b/>
      <sz val="9"/>
      <color rgb="FFB07AA1"/>
      <name val="맑은 고딕"/>
      <family val="3"/>
      <charset val="129"/>
    </font>
    <font>
      <b/>
      <sz val="9"/>
      <color rgb="FFB07AA1"/>
      <name val="Noto Sans CJK SC"/>
      <family val="2"/>
    </font>
    <font>
      <b/>
      <sz val="9"/>
      <color rgb="FF4D4D4D"/>
      <name val="맑은 고딕"/>
      <family val="3"/>
      <charset val="129"/>
    </font>
    <font>
      <b/>
      <sz val="9"/>
      <color rgb="FF4D4D4D"/>
      <name val="Noto Sans CJK SC"/>
      <family val="2"/>
    </font>
    <font>
      <b/>
      <sz val="10"/>
      <color rgb="FF000000"/>
      <name val="맑은 고딕"/>
      <family val="3"/>
      <charset val="129"/>
    </font>
    <font>
      <b/>
      <sz val="9"/>
      <color rgb="FF000000"/>
      <name val="Noto Sans CJK SC"/>
      <family val="2"/>
      <charset val="1"/>
    </font>
    <font>
      <b/>
      <sz val="9"/>
      <color rgb="FF008000"/>
      <name val="맑은 고딕"/>
      <family val="3"/>
      <charset val="129"/>
    </font>
    <font>
      <b/>
      <sz val="8"/>
      <color rgb="FFFFFFFF"/>
      <name val="맑은 고딕"/>
      <family val="3"/>
      <charset val="129"/>
    </font>
    <font>
      <b/>
      <sz val="8"/>
      <color rgb="FF000000"/>
      <name val="Noto Sans CJK SC"/>
      <family val="2"/>
      <charset val="1"/>
    </font>
    <font>
      <sz val="7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FFFFFF"/>
      <name val="Noto Sans CJK SC"/>
      <family val="2"/>
      <charset val="1"/>
    </font>
    <font>
      <sz val="8"/>
      <name val="돋움"/>
      <family val="3"/>
      <charset val="129"/>
    </font>
  </fonts>
  <fills count="21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17A2B8"/>
        <bgColor rgb="FF0E7C86"/>
      </patternFill>
    </fill>
    <fill>
      <patternFill patternType="solid">
        <fgColor rgb="FF0E7C86"/>
        <bgColor rgb="FF0066CC"/>
      </patternFill>
    </fill>
    <fill>
      <patternFill patternType="solid">
        <fgColor rgb="FFFFFFFF"/>
        <bgColor rgb="FFFBFCFD"/>
      </patternFill>
    </fill>
    <fill>
      <patternFill patternType="solid">
        <fgColor rgb="FFF2F4F7"/>
        <bgColor rgb="FFEAF3F5"/>
      </patternFill>
    </fill>
    <fill>
      <patternFill patternType="solid">
        <fgColor rgb="FFEAF3F5"/>
        <bgColor rgb="FFF2F4F7"/>
      </patternFill>
    </fill>
    <fill>
      <patternFill patternType="solid">
        <fgColor rgb="FFFFFF00"/>
        <bgColor rgb="FFFFFF00"/>
      </patternFill>
    </fill>
    <fill>
      <patternFill patternType="solid">
        <fgColor rgb="FF4E79A7"/>
        <bgColor rgb="FF808080"/>
      </patternFill>
    </fill>
    <fill>
      <patternFill patternType="solid">
        <fgColor rgb="FF59A14F"/>
        <bgColor rgb="FF808080"/>
      </patternFill>
    </fill>
    <fill>
      <patternFill patternType="solid">
        <fgColor rgb="FF9C6ADE"/>
        <bgColor rgb="FFB07AA1"/>
      </patternFill>
    </fill>
    <fill>
      <patternFill patternType="solid">
        <fgColor rgb="FFE15759"/>
        <bgColor rgb="FFC0392B"/>
      </patternFill>
    </fill>
    <fill>
      <patternFill patternType="solid">
        <fgColor rgb="FFF28E2B"/>
        <bgColor rgb="FFFF8080"/>
      </patternFill>
    </fill>
    <fill>
      <patternFill patternType="solid">
        <fgColor rgb="FFEDC948"/>
        <bgColor rgb="FFFFCC99"/>
      </patternFill>
    </fill>
    <fill>
      <patternFill patternType="solid">
        <fgColor rgb="FF76B7B2"/>
        <bgColor rgb="FF59A14F"/>
      </patternFill>
    </fill>
    <fill>
      <patternFill patternType="solid">
        <fgColor rgb="FFFF9DA7"/>
        <bgColor rgb="FFFF8080"/>
      </patternFill>
    </fill>
    <fill>
      <patternFill patternType="solid">
        <fgColor rgb="FFB07AA1"/>
        <bgColor rgb="FF9C6ADE"/>
      </patternFill>
    </fill>
    <fill>
      <patternFill patternType="solid">
        <fgColor rgb="FF4D4D4D"/>
        <bgColor rgb="FF555555"/>
      </patternFill>
    </fill>
    <fill>
      <patternFill patternType="solid">
        <fgColor rgb="FFFBFCFD"/>
        <bgColor rgb="FFFFFFFF"/>
      </patternFill>
    </fill>
    <fill>
      <patternFill patternType="solid">
        <fgColor rgb="FFC0392B"/>
        <bgColor rgb="FF993366"/>
      </patternFill>
    </fill>
  </fills>
  <borders count="4">
    <border>
      <left/>
      <right/>
      <top/>
      <bottom/>
      <diagonal/>
    </border>
    <border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  <diagonal/>
    </border>
    <border>
      <left style="thin">
        <color rgb="FFC9D2DC"/>
      </left>
      <right/>
      <top style="thin">
        <color rgb="FFC9D2DC"/>
      </top>
      <bottom style="thin">
        <color rgb="FFC9D2DC"/>
      </bottom>
      <diagonal/>
    </border>
    <border>
      <left style="thin">
        <color rgb="FFC9D2DC"/>
      </left>
      <right/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4" fillId="2" borderId="0" xfId="0" applyFont="1" applyFill="1" applyAlignment="1">
      <alignment horizontal="left" vertical="center"/>
    </xf>
    <xf numFmtId="0" fontId="48" fillId="2" borderId="0" xfId="0" applyFont="1" applyFill="1" applyAlignment="1">
      <alignment horizontal="left" vertical="center"/>
    </xf>
    <xf numFmtId="0" fontId="42" fillId="7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45" fillId="7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right" vertical="center"/>
    </xf>
    <xf numFmtId="176" fontId="15" fillId="8" borderId="1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176" fontId="21" fillId="5" borderId="1" xfId="0" applyNumberFormat="1" applyFont="1" applyFill="1" applyBorder="1" applyAlignment="1">
      <alignment horizontal="center" vertical="center"/>
    </xf>
    <xf numFmtId="176" fontId="8" fillId="5" borderId="1" xfId="0" applyNumberFormat="1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9" fontId="8" fillId="5" borderId="1" xfId="0" applyNumberFormat="1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/>
    </xf>
    <xf numFmtId="176" fontId="21" fillId="6" borderId="1" xfId="0" applyNumberFormat="1" applyFont="1" applyFill="1" applyBorder="1" applyAlignment="1">
      <alignment horizontal="center" vertical="center"/>
    </xf>
    <xf numFmtId="176" fontId="8" fillId="6" borderId="1" xfId="0" applyNumberFormat="1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left" vertical="center" wrapText="1"/>
    </xf>
    <xf numFmtId="0" fontId="23" fillId="5" borderId="1" xfId="0" applyFont="1" applyFill="1" applyBorder="1" applyAlignment="1">
      <alignment horizontal="left" vertical="center" wrapText="1"/>
    </xf>
    <xf numFmtId="0" fontId="17" fillId="11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left" vertical="center" wrapText="1"/>
    </xf>
    <xf numFmtId="0" fontId="25" fillId="6" borderId="1" xfId="0" applyFont="1" applyFill="1" applyBorder="1" applyAlignment="1">
      <alignment horizontal="left" vertical="center" wrapText="1"/>
    </xf>
    <xf numFmtId="0" fontId="17" fillId="12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left" vertical="center" wrapText="1"/>
    </xf>
    <xf numFmtId="0" fontId="27" fillId="6" borderId="1" xfId="0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left" vertical="center" wrapText="1"/>
    </xf>
    <xf numFmtId="0" fontId="29" fillId="6" borderId="1" xfId="0" applyFont="1" applyFill="1" applyBorder="1" applyAlignment="1">
      <alignment horizontal="left" vertical="center" wrapText="1"/>
    </xf>
    <xf numFmtId="0" fontId="17" fillId="14" borderId="1" xfId="0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left" vertical="center" wrapText="1"/>
    </xf>
    <xf numFmtId="0" fontId="31" fillId="6" borderId="1" xfId="0" applyFont="1" applyFill="1" applyBorder="1" applyAlignment="1">
      <alignment horizontal="left" vertical="center" wrapText="1"/>
    </xf>
    <xf numFmtId="0" fontId="17" fillId="15" borderId="1" xfId="0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left" vertical="center" wrapText="1"/>
    </xf>
    <xf numFmtId="0" fontId="33" fillId="6" borderId="1" xfId="0" applyFont="1" applyFill="1" applyBorder="1" applyAlignment="1">
      <alignment horizontal="left" vertical="center" wrapText="1"/>
    </xf>
    <xf numFmtId="0" fontId="17" fillId="16" borderId="1" xfId="0" applyFont="1" applyFill="1" applyBorder="1" applyAlignment="1">
      <alignment horizontal="center" vertical="center"/>
    </xf>
    <xf numFmtId="0" fontId="35" fillId="5" borderId="1" xfId="0" applyFont="1" applyFill="1" applyBorder="1" applyAlignment="1">
      <alignment horizontal="left" vertical="center" wrapText="1"/>
    </xf>
    <xf numFmtId="0" fontId="35" fillId="6" borderId="1" xfId="0" applyFont="1" applyFill="1" applyBorder="1" applyAlignment="1">
      <alignment horizontal="left" vertical="center" wrapText="1"/>
    </xf>
    <xf numFmtId="0" fontId="17" fillId="17" borderId="1" xfId="0" applyFont="1" applyFill="1" applyBorder="1" applyAlignment="1">
      <alignment horizontal="center" vertical="center"/>
    </xf>
    <xf numFmtId="0" fontId="37" fillId="5" borderId="1" xfId="0" applyFont="1" applyFill="1" applyBorder="1" applyAlignment="1">
      <alignment horizontal="left" vertical="center" wrapText="1"/>
    </xf>
    <xf numFmtId="0" fontId="37" fillId="6" borderId="1" xfId="0" applyFont="1" applyFill="1" applyBorder="1" applyAlignment="1">
      <alignment horizontal="left" vertical="center" wrapText="1"/>
    </xf>
    <xf numFmtId="0" fontId="17" fillId="18" borderId="1" xfId="0" applyFont="1" applyFill="1" applyBorder="1" applyAlignment="1">
      <alignment horizontal="center" vertical="center"/>
    </xf>
    <xf numFmtId="0" fontId="39" fillId="5" borderId="1" xfId="0" applyFont="1" applyFill="1" applyBorder="1" applyAlignment="1">
      <alignment horizontal="left" vertical="center" wrapText="1"/>
    </xf>
    <xf numFmtId="0" fontId="39" fillId="6" borderId="1" xfId="0" applyFont="1" applyFill="1" applyBorder="1" applyAlignment="1">
      <alignment horizontal="left" vertical="center" wrapText="1"/>
    </xf>
    <xf numFmtId="0" fontId="41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176" fontId="41" fillId="7" borderId="1" xfId="0" applyNumberFormat="1" applyFont="1" applyFill="1" applyBorder="1" applyAlignment="1">
      <alignment horizontal="center" vertical="center"/>
    </xf>
    <xf numFmtId="9" fontId="41" fillId="7" borderId="1" xfId="0" applyNumberFormat="1" applyFont="1" applyFill="1" applyBorder="1" applyAlignment="1">
      <alignment horizontal="center" vertical="center"/>
    </xf>
    <xf numFmtId="0" fontId="42" fillId="7" borderId="1" xfId="0" applyFont="1" applyFill="1" applyBorder="1" applyAlignment="1">
      <alignment horizontal="right" vertical="center"/>
    </xf>
    <xf numFmtId="176" fontId="43" fillId="8" borderId="1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44" fillId="2" borderId="1" xfId="0" applyFont="1" applyFill="1" applyBorder="1" applyAlignment="1">
      <alignment horizontal="center" vertical="center"/>
    </xf>
    <xf numFmtId="176" fontId="0" fillId="7" borderId="1" xfId="0" applyNumberFormat="1" applyFill="1" applyBorder="1"/>
    <xf numFmtId="58" fontId="46" fillId="7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47" fillId="5" borderId="1" xfId="0" applyFont="1" applyFill="1" applyBorder="1" applyAlignment="1">
      <alignment horizontal="left" vertical="center"/>
    </xf>
    <xf numFmtId="58" fontId="47" fillId="5" borderId="1" xfId="0" applyNumberFormat="1" applyFont="1" applyFill="1" applyBorder="1" applyAlignment="1">
      <alignment horizontal="center" vertical="center"/>
    </xf>
    <xf numFmtId="0" fontId="47" fillId="5" borderId="1" xfId="0" applyFont="1" applyFill="1" applyBorder="1" applyAlignment="1">
      <alignment horizontal="center" vertical="center"/>
    </xf>
    <xf numFmtId="0" fontId="0" fillId="0" borderId="1" xfId="0" applyBorder="1"/>
    <xf numFmtId="0" fontId="7" fillId="6" borderId="1" xfId="0" applyFont="1" applyFill="1" applyBorder="1" applyAlignment="1">
      <alignment horizontal="left" vertical="center"/>
    </xf>
    <xf numFmtId="0" fontId="47" fillId="6" borderId="1" xfId="0" applyFont="1" applyFill="1" applyBorder="1" applyAlignment="1">
      <alignment horizontal="left" vertical="center"/>
    </xf>
    <xf numFmtId="58" fontId="47" fillId="6" borderId="1" xfId="0" applyNumberFormat="1" applyFont="1" applyFill="1" applyBorder="1" applyAlignment="1">
      <alignment horizontal="center" vertical="center"/>
    </xf>
    <xf numFmtId="0" fontId="47" fillId="6" borderId="1" xfId="0" applyFont="1" applyFill="1" applyBorder="1" applyAlignment="1">
      <alignment horizontal="center" vertical="center"/>
    </xf>
    <xf numFmtId="0" fontId="0" fillId="19" borderId="1" xfId="0" applyFill="1" applyBorder="1"/>
    <xf numFmtId="0" fontId="44" fillId="20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7" fillId="5" borderId="0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left" vertical="center" wrapText="1"/>
    </xf>
    <xf numFmtId="0" fontId="8" fillId="6" borderId="0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8" fillId="5" borderId="0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left" vertical="center" wrapText="1"/>
    </xf>
    <xf numFmtId="0" fontId="7" fillId="6" borderId="0" xfId="0" applyFont="1" applyFill="1" applyBorder="1" applyAlignment="1">
      <alignment horizontal="left" vertical="center" wrapText="1"/>
    </xf>
  </cellXfs>
  <cellStyles count="1">
    <cellStyle name="표준" xfId="0" builtinId="0"/>
  </cellStyles>
  <dxfs count="10">
    <dxf>
      <fill>
        <patternFill>
          <bgColor rgb="FF4D4D4D"/>
        </patternFill>
      </fill>
    </dxf>
    <dxf>
      <fill>
        <patternFill>
          <bgColor rgb="FFB07AA1"/>
        </patternFill>
      </fill>
    </dxf>
    <dxf>
      <fill>
        <patternFill>
          <bgColor rgb="FFFF9DA7"/>
        </patternFill>
      </fill>
    </dxf>
    <dxf>
      <fill>
        <patternFill>
          <bgColor rgb="FF76B7B2"/>
        </patternFill>
      </fill>
    </dxf>
    <dxf>
      <fill>
        <patternFill>
          <bgColor rgb="FFEDC948"/>
        </patternFill>
      </fill>
    </dxf>
    <dxf>
      <fill>
        <patternFill>
          <bgColor rgb="FFF28E2B"/>
        </patternFill>
      </fill>
    </dxf>
    <dxf>
      <fill>
        <patternFill>
          <bgColor rgb="FFE15759"/>
        </patternFill>
      </fill>
    </dxf>
    <dxf>
      <fill>
        <patternFill>
          <bgColor rgb="FF9C6ADE"/>
        </patternFill>
      </fill>
    </dxf>
    <dxf>
      <fill>
        <patternFill>
          <bgColor rgb="FF59A14F"/>
        </patternFill>
      </fill>
    </dxf>
    <dxf>
      <fill>
        <patternFill>
          <bgColor rgb="FF4E79A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6"/>
      <rgbColor rgb="FFC0C0C0"/>
      <rgbColor rgb="FF808080"/>
      <rgbColor rgb="FF9C6ADE"/>
      <rgbColor rgb="FF993366"/>
      <rgbColor rgb="FFFBFCFD"/>
      <rgbColor rgb="FFEAF3F5"/>
      <rgbColor rgb="FF660066"/>
      <rgbColor rgb="FFFF8080"/>
      <rgbColor rgb="FF0066CC"/>
      <rgbColor rgb="FFC9D2DC"/>
      <rgbColor rgb="FF000080"/>
      <rgbColor rgb="FFFF00FF"/>
      <rgbColor rgb="FFFFFF00"/>
      <rgbColor rgb="FF00FFFF"/>
      <rgbColor rgb="FF800080"/>
      <rgbColor rgb="FF800000"/>
      <rgbColor rgb="FF17A2B8"/>
      <rgbColor rgb="FF0000FF"/>
      <rgbColor rgb="FF00CCFF"/>
      <rgbColor rgb="FFF2F4F7"/>
      <rgbColor rgb="FFCCFFCC"/>
      <rgbColor rgb="FFFFFF99"/>
      <rgbColor rgb="FF76B7B2"/>
      <rgbColor rgb="FFFF9DA7"/>
      <rgbColor rgb="FFCC99FF"/>
      <rgbColor rgb="FFFFCC99"/>
      <rgbColor rgb="FF3366FF"/>
      <rgbColor rgb="FF33CCCC"/>
      <rgbColor rgb="FF99CC00"/>
      <rgbColor rgb="FFEDC948"/>
      <rgbColor rgb="FFF28E2B"/>
      <rgbColor rgb="FFE15759"/>
      <rgbColor rgb="FF4E79A7"/>
      <rgbColor rgb="FFB07AA1"/>
      <rgbColor rgb="FF003366"/>
      <rgbColor rgb="FF59A14F"/>
      <rgbColor rgb="FF003300"/>
      <rgbColor rgb="FF555555"/>
      <rgbColor rgb="FFC0392B"/>
      <rgbColor rgb="FF993366"/>
      <rgbColor rgb="FF4D4D4D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9"/>
  <sheetViews>
    <sheetView showGridLines="0" tabSelected="1" zoomScaleNormal="100" workbookViewId="0">
      <selection activeCell="J42" sqref="J42"/>
    </sheetView>
  </sheetViews>
  <sheetFormatPr defaultColWidth="8.6640625" defaultRowHeight="14.4"/>
  <cols>
    <col min="2" max="2" width="22.44140625" customWidth="1"/>
    <col min="3" max="3" width="29.6640625" customWidth="1"/>
    <col min="4" max="4" width="16" customWidth="1"/>
    <col min="5" max="5" width="46" customWidth="1"/>
    <col min="6" max="8" width="10" customWidth="1"/>
  </cols>
  <sheetData>
    <row r="2" spans="2:8" ht="27.6">
      <c r="B2" s="12" t="s">
        <v>0</v>
      </c>
      <c r="C2" s="12"/>
      <c r="D2" s="12"/>
      <c r="E2" s="12"/>
      <c r="F2" s="12"/>
      <c r="G2" s="12"/>
      <c r="H2" s="12"/>
    </row>
    <row r="3" spans="2:8" ht="15.6">
      <c r="B3" s="11" t="s">
        <v>1</v>
      </c>
      <c r="C3" s="11"/>
      <c r="D3" s="11"/>
      <c r="E3" s="11"/>
      <c r="F3" s="11"/>
      <c r="G3" s="11"/>
      <c r="H3" s="11"/>
    </row>
    <row r="5" spans="2:8" ht="17.399999999999999">
      <c r="B5" s="10" t="s">
        <v>2</v>
      </c>
      <c r="C5" s="10"/>
      <c r="D5" s="10"/>
      <c r="E5" s="10"/>
      <c r="F5" s="10"/>
      <c r="G5" s="10"/>
      <c r="H5" s="10"/>
    </row>
    <row r="6" spans="2:8">
      <c r="B6" s="13" t="s">
        <v>3</v>
      </c>
      <c r="C6" s="90" t="s">
        <v>4</v>
      </c>
      <c r="D6" s="91"/>
      <c r="E6" s="91"/>
    </row>
    <row r="7" spans="2:8">
      <c r="B7" s="14" t="s">
        <v>5</v>
      </c>
      <c r="C7" s="92" t="s">
        <v>6</v>
      </c>
      <c r="D7" s="93"/>
      <c r="E7" s="93"/>
    </row>
    <row r="8" spans="2:8">
      <c r="B8" s="15" t="s">
        <v>7</v>
      </c>
      <c r="C8" s="94" t="s">
        <v>8</v>
      </c>
      <c r="D8" s="95"/>
      <c r="E8" s="95"/>
    </row>
    <row r="9" spans="2:8">
      <c r="B9" s="14" t="s">
        <v>9</v>
      </c>
      <c r="C9" s="96" t="s">
        <v>10</v>
      </c>
      <c r="D9" s="97"/>
      <c r="E9" s="97"/>
    </row>
    <row r="10" spans="2:8">
      <c r="B10" s="16" t="s">
        <v>11</v>
      </c>
      <c r="C10" s="94" t="s">
        <v>12</v>
      </c>
      <c r="D10" s="95"/>
      <c r="E10" s="95"/>
    </row>
    <row r="11" spans="2:8">
      <c r="B11" s="14" t="s">
        <v>13</v>
      </c>
      <c r="C11" s="92" t="s">
        <v>14</v>
      </c>
      <c r="D11" s="93"/>
      <c r="E11" s="93"/>
    </row>
    <row r="12" spans="2:8">
      <c r="B12" s="15" t="s">
        <v>15</v>
      </c>
      <c r="C12" s="94" t="s">
        <v>16</v>
      </c>
      <c r="D12" s="95"/>
      <c r="E12" s="95"/>
    </row>
    <row r="14" spans="2:8" ht="17.399999999999999">
      <c r="B14" s="10" t="s">
        <v>17</v>
      </c>
      <c r="C14" s="10"/>
      <c r="D14" s="10"/>
      <c r="E14" s="10"/>
      <c r="F14" s="10"/>
      <c r="G14" s="10"/>
      <c r="H14" s="10"/>
    </row>
    <row r="15" spans="2:8">
      <c r="B15" s="13" t="s">
        <v>18</v>
      </c>
      <c r="C15" s="13" t="s">
        <v>19</v>
      </c>
      <c r="D15" s="90" t="s">
        <v>20</v>
      </c>
      <c r="E15" s="91"/>
    </row>
    <row r="16" spans="2:8">
      <c r="B16" s="17" t="s">
        <v>21</v>
      </c>
      <c r="C16" s="17" t="s">
        <v>22</v>
      </c>
      <c r="D16" s="96" t="s">
        <v>23</v>
      </c>
      <c r="E16" s="97"/>
    </row>
    <row r="17" spans="2:8">
      <c r="B17" s="16" t="s">
        <v>24</v>
      </c>
      <c r="C17" s="16" t="s">
        <v>22</v>
      </c>
      <c r="D17" s="98" t="s">
        <v>25</v>
      </c>
      <c r="E17" s="99"/>
    </row>
    <row r="18" spans="2:8">
      <c r="B18" s="14" t="s">
        <v>26</v>
      </c>
      <c r="C18" s="17" t="s">
        <v>22</v>
      </c>
      <c r="D18" s="96" t="s">
        <v>27</v>
      </c>
      <c r="E18" s="97"/>
    </row>
    <row r="19" spans="2:8">
      <c r="B19" s="15" t="s">
        <v>28</v>
      </c>
      <c r="C19" s="16" t="s">
        <v>29</v>
      </c>
      <c r="D19" s="98" t="s">
        <v>30</v>
      </c>
      <c r="E19" s="99"/>
    </row>
    <row r="20" spans="2:8">
      <c r="B20" s="17" t="s">
        <v>31</v>
      </c>
      <c r="C20" s="17" t="s">
        <v>32</v>
      </c>
      <c r="D20" s="92" t="s">
        <v>33</v>
      </c>
      <c r="E20" s="93"/>
    </row>
    <row r="22" spans="2:8" ht="17.399999999999999">
      <c r="B22" s="10" t="s">
        <v>34</v>
      </c>
      <c r="C22" s="10"/>
      <c r="D22" s="10"/>
      <c r="E22" s="10"/>
      <c r="F22" s="10"/>
      <c r="G22" s="10"/>
      <c r="H22" s="10"/>
    </row>
    <row r="23" spans="2:8">
      <c r="B23" s="13" t="s">
        <v>35</v>
      </c>
      <c r="C23" s="13" t="s">
        <v>36</v>
      </c>
      <c r="D23" s="90" t="s">
        <v>20</v>
      </c>
      <c r="E23" s="91"/>
    </row>
    <row r="24" spans="2:8">
      <c r="B24" s="14" t="s">
        <v>37</v>
      </c>
      <c r="C24" s="17" t="s">
        <v>38</v>
      </c>
      <c r="D24" s="96" t="s">
        <v>39</v>
      </c>
      <c r="E24" s="97"/>
    </row>
    <row r="25" spans="2:8">
      <c r="B25" s="15" t="s">
        <v>40</v>
      </c>
      <c r="C25" s="16" t="s">
        <v>41</v>
      </c>
      <c r="D25" s="98" t="s">
        <v>42</v>
      </c>
      <c r="E25" s="99"/>
    </row>
    <row r="26" spans="2:8">
      <c r="B26" s="14" t="s">
        <v>43</v>
      </c>
      <c r="C26" s="17" t="s">
        <v>44</v>
      </c>
      <c r="D26" s="96" t="s">
        <v>45</v>
      </c>
      <c r="E26" s="97"/>
    </row>
    <row r="28" spans="2:8" ht="17.399999999999999">
      <c r="B28" s="10" t="s">
        <v>46</v>
      </c>
      <c r="C28" s="10"/>
      <c r="D28" s="10"/>
      <c r="E28" s="10"/>
      <c r="F28" s="10"/>
      <c r="G28" s="10"/>
      <c r="H28" s="10"/>
    </row>
    <row r="29" spans="2:8" ht="15.6">
      <c r="B29" s="18" t="s">
        <v>47</v>
      </c>
      <c r="C29" s="13" t="s">
        <v>48</v>
      </c>
      <c r="D29" s="13" t="s">
        <v>49</v>
      </c>
      <c r="E29" s="13" t="s">
        <v>50</v>
      </c>
    </row>
    <row r="30" spans="2:8">
      <c r="B30" s="17" t="s">
        <v>51</v>
      </c>
      <c r="C30" s="14" t="s">
        <v>52</v>
      </c>
      <c r="D30" s="17" t="s">
        <v>53</v>
      </c>
      <c r="E30" s="14" t="s">
        <v>54</v>
      </c>
    </row>
    <row r="31" spans="2:8">
      <c r="B31" s="16" t="s">
        <v>55</v>
      </c>
      <c r="C31" s="16" t="s">
        <v>56</v>
      </c>
      <c r="D31" s="16" t="s">
        <v>57</v>
      </c>
      <c r="E31" s="16" t="s">
        <v>58</v>
      </c>
    </row>
    <row r="32" spans="2:8">
      <c r="B32" s="17" t="s">
        <v>59</v>
      </c>
      <c r="C32" s="17" t="s">
        <v>60</v>
      </c>
      <c r="D32" s="17" t="s">
        <v>57</v>
      </c>
      <c r="E32" s="14" t="s">
        <v>61</v>
      </c>
    </row>
    <row r="33" spans="2:5">
      <c r="B33" s="16" t="s">
        <v>62</v>
      </c>
      <c r="C33" s="16" t="s">
        <v>63</v>
      </c>
      <c r="D33" s="16" t="s">
        <v>57</v>
      </c>
      <c r="E33" s="15" t="s">
        <v>64</v>
      </c>
    </row>
    <row r="34" spans="2:5">
      <c r="B34" s="17" t="s">
        <v>65</v>
      </c>
      <c r="C34" s="17" t="s">
        <v>66</v>
      </c>
      <c r="D34" s="17" t="s">
        <v>67</v>
      </c>
      <c r="E34" s="14" t="s">
        <v>68</v>
      </c>
    </row>
    <row r="35" spans="2:5">
      <c r="B35" s="16" t="s">
        <v>69</v>
      </c>
      <c r="C35" s="16" t="s">
        <v>70</v>
      </c>
      <c r="D35" s="16" t="s">
        <v>67</v>
      </c>
      <c r="E35" s="16" t="s">
        <v>71</v>
      </c>
    </row>
    <row r="36" spans="2:5">
      <c r="B36" s="17" t="s">
        <v>72</v>
      </c>
      <c r="C36" s="17" t="s">
        <v>73</v>
      </c>
      <c r="D36" s="17" t="s">
        <v>67</v>
      </c>
      <c r="E36" s="17" t="s">
        <v>74</v>
      </c>
    </row>
    <row r="37" spans="2:5">
      <c r="B37" s="16" t="s">
        <v>75</v>
      </c>
      <c r="C37" s="16" t="s">
        <v>76</v>
      </c>
      <c r="D37" s="16" t="s">
        <v>57</v>
      </c>
      <c r="E37" s="16" t="s">
        <v>77</v>
      </c>
    </row>
    <row r="38" spans="2:5">
      <c r="B38" s="17" t="s">
        <v>78</v>
      </c>
      <c r="C38" s="17" t="s">
        <v>79</v>
      </c>
      <c r="D38" s="17" t="s">
        <v>57</v>
      </c>
      <c r="E38" s="14" t="s">
        <v>80</v>
      </c>
    </row>
    <row r="39" spans="2:5">
      <c r="B39" s="16" t="s">
        <v>81</v>
      </c>
      <c r="C39" s="16" t="s">
        <v>82</v>
      </c>
      <c r="D39" s="16" t="s">
        <v>83</v>
      </c>
      <c r="E39" s="15" t="s">
        <v>84</v>
      </c>
    </row>
  </sheetData>
  <mergeCells count="23">
    <mergeCell ref="D25:E25"/>
    <mergeCell ref="D26:E26"/>
    <mergeCell ref="B28:H28"/>
    <mergeCell ref="C6:E6"/>
    <mergeCell ref="C7:E7"/>
    <mergeCell ref="C8:E8"/>
    <mergeCell ref="C9:E9"/>
    <mergeCell ref="C10:E10"/>
    <mergeCell ref="C11:E11"/>
    <mergeCell ref="C12:E12"/>
    <mergeCell ref="D15:E15"/>
    <mergeCell ref="D16:E16"/>
    <mergeCell ref="D17:E17"/>
    <mergeCell ref="D18:E18"/>
    <mergeCell ref="D19:E19"/>
    <mergeCell ref="D20:E20"/>
    <mergeCell ref="D23:E23"/>
    <mergeCell ref="D24:E24"/>
    <mergeCell ref="B2:H2"/>
    <mergeCell ref="B3:H3"/>
    <mergeCell ref="B5:H5"/>
    <mergeCell ref="B14:H14"/>
    <mergeCell ref="B22:H22"/>
  </mergeCells>
  <phoneticPr fontId="4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2"/>
  <sheetViews>
    <sheetView showGridLines="0" zoomScaleNormal="100" workbookViewId="0">
      <selection activeCell="E26" sqref="E26"/>
    </sheetView>
  </sheetViews>
  <sheetFormatPr defaultColWidth="8.6640625" defaultRowHeight="14.4"/>
  <cols>
    <col min="2" max="2" width="12" customWidth="1"/>
    <col min="3" max="3" width="34" customWidth="1"/>
    <col min="4" max="4" width="8" customWidth="1"/>
    <col min="5" max="5" width="48" customWidth="1"/>
    <col min="6" max="6" width="14" customWidth="1"/>
  </cols>
  <sheetData>
    <row r="2" spans="2:7" ht="27.75" customHeight="1">
      <c r="B2" s="9" t="s">
        <v>85</v>
      </c>
      <c r="C2" s="9"/>
      <c r="D2" s="9"/>
      <c r="E2" s="9"/>
      <c r="F2" s="9"/>
      <c r="G2" s="9"/>
    </row>
    <row r="4" spans="2:7" ht="15" customHeight="1">
      <c r="B4" s="13" t="s">
        <v>86</v>
      </c>
      <c r="C4" s="13" t="s">
        <v>87</v>
      </c>
      <c r="D4" s="13" t="s">
        <v>88</v>
      </c>
      <c r="E4" s="13" t="s">
        <v>89</v>
      </c>
      <c r="F4" s="13" t="s">
        <v>90</v>
      </c>
    </row>
    <row r="5" spans="2:7" ht="15" customHeight="1">
      <c r="B5" s="19" t="s">
        <v>91</v>
      </c>
      <c r="C5" s="16" t="s">
        <v>92</v>
      </c>
      <c r="D5" s="20" t="s">
        <v>93</v>
      </c>
      <c r="E5" s="15" t="s">
        <v>94</v>
      </c>
      <c r="F5" s="15" t="s">
        <v>95</v>
      </c>
    </row>
    <row r="6" spans="2:7" ht="15" customHeight="1">
      <c r="B6" s="21" t="s">
        <v>96</v>
      </c>
      <c r="C6" s="17" t="s">
        <v>97</v>
      </c>
      <c r="D6" s="22" t="s">
        <v>93</v>
      </c>
      <c r="E6" s="14" t="s">
        <v>98</v>
      </c>
      <c r="F6" s="14" t="s">
        <v>99</v>
      </c>
    </row>
    <row r="7" spans="2:7" ht="15" customHeight="1">
      <c r="B7" s="19" t="s">
        <v>100</v>
      </c>
      <c r="C7" s="16" t="s">
        <v>101</v>
      </c>
      <c r="D7" s="20" t="s">
        <v>93</v>
      </c>
      <c r="E7" s="15" t="s">
        <v>102</v>
      </c>
      <c r="F7" s="15" t="s">
        <v>103</v>
      </c>
    </row>
    <row r="8" spans="2:7" ht="15" customHeight="1">
      <c r="B8" s="21" t="s">
        <v>104</v>
      </c>
      <c r="C8" s="17" t="s">
        <v>105</v>
      </c>
      <c r="D8" s="22" t="s">
        <v>106</v>
      </c>
      <c r="E8" s="14" t="s">
        <v>107</v>
      </c>
      <c r="F8" s="14" t="s">
        <v>108</v>
      </c>
    </row>
    <row r="9" spans="2:7" ht="15" customHeight="1">
      <c r="B9" s="19" t="s">
        <v>109</v>
      </c>
      <c r="C9" s="16" t="s">
        <v>110</v>
      </c>
      <c r="D9" s="20" t="s">
        <v>93</v>
      </c>
      <c r="E9" s="16" t="s">
        <v>111</v>
      </c>
      <c r="F9" s="15" t="s">
        <v>108</v>
      </c>
    </row>
    <row r="10" spans="2:7" ht="15" customHeight="1">
      <c r="B10" s="21" t="s">
        <v>112</v>
      </c>
      <c r="C10" s="17" t="s">
        <v>113</v>
      </c>
      <c r="D10" s="22" t="s">
        <v>106</v>
      </c>
      <c r="E10" s="14" t="s">
        <v>114</v>
      </c>
      <c r="F10" s="14" t="s">
        <v>115</v>
      </c>
    </row>
    <row r="11" spans="2:7" ht="15" customHeight="1">
      <c r="B11" s="19" t="s">
        <v>116</v>
      </c>
      <c r="C11" s="16" t="s">
        <v>113</v>
      </c>
      <c r="D11" s="20" t="s">
        <v>117</v>
      </c>
      <c r="E11" s="15" t="s">
        <v>118</v>
      </c>
      <c r="F11" s="15" t="s">
        <v>119</v>
      </c>
    </row>
    <row r="12" spans="2:7" ht="15" customHeight="1">
      <c r="B12" s="21" t="s">
        <v>120</v>
      </c>
      <c r="C12" s="17" t="s">
        <v>121</v>
      </c>
      <c r="D12" s="22" t="s">
        <v>93</v>
      </c>
      <c r="E12" s="17" t="s">
        <v>122</v>
      </c>
      <c r="F12" s="14" t="s">
        <v>108</v>
      </c>
    </row>
    <row r="13" spans="2:7" ht="15" customHeight="1">
      <c r="B13" s="19" t="s">
        <v>123</v>
      </c>
      <c r="C13" s="16" t="s">
        <v>124</v>
      </c>
      <c r="D13" s="20" t="s">
        <v>106</v>
      </c>
      <c r="E13" s="15" t="s">
        <v>125</v>
      </c>
      <c r="F13" s="15" t="s">
        <v>115</v>
      </c>
    </row>
    <row r="14" spans="2:7" ht="15" customHeight="1">
      <c r="B14" s="21" t="s">
        <v>126</v>
      </c>
      <c r="C14" s="17" t="s">
        <v>124</v>
      </c>
      <c r="D14" s="22" t="s">
        <v>106</v>
      </c>
      <c r="E14" s="14" t="s">
        <v>127</v>
      </c>
      <c r="F14" s="14" t="s">
        <v>115</v>
      </c>
    </row>
    <row r="15" spans="2:7" ht="15" customHeight="1">
      <c r="B15" s="19" t="s">
        <v>128</v>
      </c>
      <c r="C15" s="16" t="s">
        <v>129</v>
      </c>
      <c r="D15" s="20" t="s">
        <v>93</v>
      </c>
      <c r="E15" s="15" t="s">
        <v>130</v>
      </c>
      <c r="F15" s="15" t="s">
        <v>95</v>
      </c>
    </row>
    <row r="16" spans="2:7" ht="15" customHeight="1">
      <c r="B16" s="21" t="s">
        <v>131</v>
      </c>
      <c r="C16" s="17" t="s">
        <v>132</v>
      </c>
      <c r="D16" s="22" t="s">
        <v>93</v>
      </c>
      <c r="E16" s="14" t="s">
        <v>133</v>
      </c>
      <c r="F16" s="14" t="s">
        <v>103</v>
      </c>
    </row>
    <row r="17" spans="2:6" ht="15" customHeight="1">
      <c r="B17" s="19" t="s">
        <v>134</v>
      </c>
      <c r="C17" s="16" t="s">
        <v>135</v>
      </c>
      <c r="D17" s="20" t="s">
        <v>106</v>
      </c>
      <c r="E17" s="15" t="s">
        <v>136</v>
      </c>
      <c r="F17" s="16" t="s">
        <v>137</v>
      </c>
    </row>
    <row r="18" spans="2:6" ht="15" customHeight="1">
      <c r="B18" s="21" t="s">
        <v>138</v>
      </c>
      <c r="C18" s="17" t="s">
        <v>139</v>
      </c>
      <c r="D18" s="22" t="s">
        <v>93</v>
      </c>
      <c r="E18" s="14" t="s">
        <v>140</v>
      </c>
      <c r="F18" s="14" t="s">
        <v>103</v>
      </c>
    </row>
    <row r="19" spans="2:6" ht="15" customHeight="1">
      <c r="B19" s="19" t="s">
        <v>141</v>
      </c>
      <c r="C19" s="16" t="s">
        <v>142</v>
      </c>
      <c r="D19" s="20" t="s">
        <v>106</v>
      </c>
      <c r="E19" s="16" t="s">
        <v>143</v>
      </c>
      <c r="F19" s="15" t="s">
        <v>119</v>
      </c>
    </row>
    <row r="20" spans="2:6" ht="15" customHeight="1">
      <c r="B20" s="21" t="s">
        <v>144</v>
      </c>
      <c r="C20" s="17" t="s">
        <v>145</v>
      </c>
      <c r="D20" s="22" t="s">
        <v>106</v>
      </c>
      <c r="E20" s="17" t="s">
        <v>146</v>
      </c>
      <c r="F20" s="17" t="s">
        <v>147</v>
      </c>
    </row>
    <row r="21" spans="2:6" ht="15" customHeight="1">
      <c r="B21" s="19" t="s">
        <v>148</v>
      </c>
      <c r="C21" s="16" t="s">
        <v>149</v>
      </c>
      <c r="D21" s="20" t="s">
        <v>93</v>
      </c>
      <c r="E21" s="16" t="s">
        <v>150</v>
      </c>
      <c r="F21" s="15" t="s">
        <v>103</v>
      </c>
    </row>
    <row r="22" spans="2:6" ht="15" customHeight="1">
      <c r="B22" s="21" t="s">
        <v>151</v>
      </c>
      <c r="C22" s="17" t="s">
        <v>152</v>
      </c>
      <c r="D22" s="22" t="s">
        <v>106</v>
      </c>
      <c r="E22" s="14" t="s">
        <v>153</v>
      </c>
      <c r="F22" s="14" t="s">
        <v>154</v>
      </c>
    </row>
  </sheetData>
  <mergeCells count="1">
    <mergeCell ref="B2:G2"/>
  </mergeCells>
  <phoneticPr fontId="4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64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38" sqref="C38"/>
    </sheetView>
  </sheetViews>
  <sheetFormatPr defaultColWidth="8.6640625" defaultRowHeight="14.4"/>
  <cols>
    <col min="1" max="1" width="8" customWidth="1"/>
    <col min="2" max="2" width="26" customWidth="1"/>
    <col min="3" max="3" width="24" customWidth="1"/>
    <col min="4" max="4" width="50" customWidth="1"/>
    <col min="5" max="5" width="24" customWidth="1"/>
    <col min="6" max="6" width="22" customWidth="1"/>
    <col min="7" max="7" width="9" customWidth="1"/>
    <col min="8" max="8" width="8" customWidth="1"/>
    <col min="9" max="9" width="10" customWidth="1"/>
    <col min="10" max="11" width="12" customWidth="1"/>
    <col min="12" max="13" width="9" customWidth="1"/>
  </cols>
  <sheetData>
    <row r="1" spans="1:13" ht="25.5" customHeight="1">
      <c r="A1" s="8" t="s">
        <v>155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5" customHeight="1">
      <c r="A2" s="23" t="s">
        <v>156</v>
      </c>
      <c r="B2" s="24">
        <v>46174</v>
      </c>
      <c r="C2" s="7" t="s">
        <v>157</v>
      </c>
      <c r="D2" s="7"/>
      <c r="E2" s="7"/>
      <c r="F2" s="7"/>
      <c r="G2" s="7"/>
      <c r="H2" s="7"/>
      <c r="I2" s="7"/>
      <c r="J2" s="7"/>
      <c r="K2" s="7"/>
      <c r="L2" s="7"/>
      <c r="M2" s="7"/>
    </row>
    <row r="4" spans="1:13" ht="30" customHeight="1">
      <c r="A4" s="25" t="s">
        <v>158</v>
      </c>
      <c r="B4" s="26" t="s">
        <v>48</v>
      </c>
      <c r="C4" s="26" t="s">
        <v>159</v>
      </c>
      <c r="D4" s="26" t="s">
        <v>160</v>
      </c>
      <c r="E4" s="26" t="s">
        <v>161</v>
      </c>
      <c r="F4" s="26" t="s">
        <v>162</v>
      </c>
      <c r="G4" s="26" t="s">
        <v>88</v>
      </c>
      <c r="H4" s="26" t="s">
        <v>163</v>
      </c>
      <c r="I4" s="26" t="s">
        <v>164</v>
      </c>
      <c r="J4" s="26" t="s">
        <v>165</v>
      </c>
      <c r="K4" s="26" t="s">
        <v>166</v>
      </c>
      <c r="L4" s="26" t="s">
        <v>167</v>
      </c>
      <c r="M4" s="26" t="s">
        <v>168</v>
      </c>
    </row>
    <row r="5" spans="1:13" ht="15" customHeight="1">
      <c r="A5" s="27" t="s">
        <v>169</v>
      </c>
      <c r="B5" s="28" t="s">
        <v>170</v>
      </c>
      <c r="C5" s="14" t="s">
        <v>171</v>
      </c>
      <c r="D5" s="14" t="s">
        <v>172</v>
      </c>
      <c r="E5" s="17" t="s">
        <v>173</v>
      </c>
      <c r="F5" s="17" t="s">
        <v>91</v>
      </c>
      <c r="G5" s="29" t="s">
        <v>93</v>
      </c>
      <c r="H5" s="29">
        <v>1</v>
      </c>
      <c r="I5" s="17" t="s">
        <v>174</v>
      </c>
      <c r="J5" s="30">
        <v>46174</v>
      </c>
      <c r="K5" s="31">
        <f t="shared" ref="K5:K36" si="0">WORKDAY(J5,H5-1)</f>
        <v>46174</v>
      </c>
      <c r="L5" s="32">
        <f t="shared" ref="L5:L36" si="1">ROUND(H5/5,1)</f>
        <v>0.2</v>
      </c>
      <c r="M5" s="33">
        <v>0</v>
      </c>
    </row>
    <row r="6" spans="1:13" ht="15" customHeight="1">
      <c r="A6" s="27" t="s">
        <v>175</v>
      </c>
      <c r="B6" s="34" t="s">
        <v>170</v>
      </c>
      <c r="C6" s="15" t="s">
        <v>176</v>
      </c>
      <c r="D6" s="16" t="s">
        <v>177</v>
      </c>
      <c r="E6" s="16" t="s">
        <v>178</v>
      </c>
      <c r="F6" s="16" t="s">
        <v>179</v>
      </c>
      <c r="G6" s="35" t="s">
        <v>93</v>
      </c>
      <c r="H6" s="35">
        <v>1</v>
      </c>
      <c r="I6" s="16" t="s">
        <v>169</v>
      </c>
      <c r="J6" s="36">
        <v>46175</v>
      </c>
      <c r="K6" s="37">
        <f t="shared" si="0"/>
        <v>46175</v>
      </c>
      <c r="L6" s="38">
        <f t="shared" si="1"/>
        <v>0.2</v>
      </c>
      <c r="M6" s="39">
        <v>0</v>
      </c>
    </row>
    <row r="7" spans="1:13" ht="15" customHeight="1">
      <c r="A7" s="27" t="s">
        <v>180</v>
      </c>
      <c r="B7" s="28" t="s">
        <v>170</v>
      </c>
      <c r="C7" s="17" t="s">
        <v>181</v>
      </c>
      <c r="D7" s="17" t="s">
        <v>182</v>
      </c>
      <c r="E7" s="17" t="s">
        <v>183</v>
      </c>
      <c r="F7" s="17" t="s">
        <v>91</v>
      </c>
      <c r="G7" s="29" t="s">
        <v>93</v>
      </c>
      <c r="H7" s="29">
        <v>1</v>
      </c>
      <c r="I7" s="17" t="s">
        <v>175</v>
      </c>
      <c r="J7" s="30">
        <v>46176</v>
      </c>
      <c r="K7" s="31">
        <f t="shared" si="0"/>
        <v>46176</v>
      </c>
      <c r="L7" s="32">
        <f t="shared" si="1"/>
        <v>0.2</v>
      </c>
      <c r="M7" s="33">
        <v>0</v>
      </c>
    </row>
    <row r="8" spans="1:13" ht="15" customHeight="1">
      <c r="A8" s="27" t="s">
        <v>184</v>
      </c>
      <c r="B8" s="34" t="s">
        <v>170</v>
      </c>
      <c r="C8" s="15" t="s">
        <v>185</v>
      </c>
      <c r="D8" s="15" t="s">
        <v>186</v>
      </c>
      <c r="E8" s="16" t="s">
        <v>187</v>
      </c>
      <c r="F8" s="16" t="s">
        <v>188</v>
      </c>
      <c r="G8" s="35" t="s">
        <v>93</v>
      </c>
      <c r="H8" s="35">
        <v>2</v>
      </c>
      <c r="I8" s="16" t="s">
        <v>180</v>
      </c>
      <c r="J8" s="36">
        <v>46177</v>
      </c>
      <c r="K8" s="37">
        <f t="shared" si="0"/>
        <v>46178</v>
      </c>
      <c r="L8" s="38">
        <f t="shared" si="1"/>
        <v>0.4</v>
      </c>
      <c r="M8" s="39">
        <v>0</v>
      </c>
    </row>
    <row r="9" spans="1:13" ht="15" customHeight="1">
      <c r="A9" s="27" t="s">
        <v>189</v>
      </c>
      <c r="B9" s="28" t="s">
        <v>170</v>
      </c>
      <c r="C9" s="14" t="s">
        <v>190</v>
      </c>
      <c r="D9" s="14" t="s">
        <v>191</v>
      </c>
      <c r="E9" s="17" t="s">
        <v>192</v>
      </c>
      <c r="F9" s="17" t="s">
        <v>193</v>
      </c>
      <c r="G9" s="29" t="s">
        <v>194</v>
      </c>
      <c r="H9" s="29">
        <v>2</v>
      </c>
      <c r="I9" s="17" t="s">
        <v>180</v>
      </c>
      <c r="J9" s="30">
        <v>46177</v>
      </c>
      <c r="K9" s="31">
        <f t="shared" si="0"/>
        <v>46178</v>
      </c>
      <c r="L9" s="32">
        <f t="shared" si="1"/>
        <v>0.4</v>
      </c>
      <c r="M9" s="33">
        <v>0</v>
      </c>
    </row>
    <row r="10" spans="1:13" ht="24" customHeight="1">
      <c r="A10" s="40" t="s">
        <v>195</v>
      </c>
      <c r="B10" s="41" t="s">
        <v>196</v>
      </c>
      <c r="C10" s="15" t="s">
        <v>197</v>
      </c>
      <c r="D10" s="16" t="s">
        <v>198</v>
      </c>
      <c r="E10" s="16" t="s">
        <v>199</v>
      </c>
      <c r="F10" s="16" t="s">
        <v>120</v>
      </c>
      <c r="G10" s="35" t="s">
        <v>93</v>
      </c>
      <c r="H10" s="35">
        <v>3</v>
      </c>
      <c r="I10" s="16" t="s">
        <v>175</v>
      </c>
      <c r="J10" s="36">
        <v>46181</v>
      </c>
      <c r="K10" s="37">
        <f t="shared" si="0"/>
        <v>46183</v>
      </c>
      <c r="L10" s="38">
        <f t="shared" si="1"/>
        <v>0.6</v>
      </c>
      <c r="M10" s="39">
        <v>0</v>
      </c>
    </row>
    <row r="11" spans="1:13" ht="24" customHeight="1">
      <c r="A11" s="40" t="s">
        <v>200</v>
      </c>
      <c r="B11" s="42" t="s">
        <v>196</v>
      </c>
      <c r="C11" s="17" t="s">
        <v>201</v>
      </c>
      <c r="D11" s="17" t="s">
        <v>202</v>
      </c>
      <c r="E11" s="17" t="s">
        <v>203</v>
      </c>
      <c r="F11" s="17" t="s">
        <v>204</v>
      </c>
      <c r="G11" s="29" t="s">
        <v>93</v>
      </c>
      <c r="H11" s="29">
        <v>2</v>
      </c>
      <c r="I11" s="17" t="s">
        <v>195</v>
      </c>
      <c r="J11" s="30">
        <v>46184</v>
      </c>
      <c r="K11" s="31">
        <f t="shared" si="0"/>
        <v>46185</v>
      </c>
      <c r="L11" s="32">
        <f t="shared" si="1"/>
        <v>0.4</v>
      </c>
      <c r="M11" s="33">
        <v>0</v>
      </c>
    </row>
    <row r="12" spans="1:13" ht="15" customHeight="1">
      <c r="A12" s="40" t="s">
        <v>205</v>
      </c>
      <c r="B12" s="41" t="s">
        <v>196</v>
      </c>
      <c r="C12" s="16" t="s">
        <v>206</v>
      </c>
      <c r="D12" s="15" t="s">
        <v>207</v>
      </c>
      <c r="E12" s="16" t="s">
        <v>208</v>
      </c>
      <c r="F12" s="16" t="s">
        <v>209</v>
      </c>
      <c r="G12" s="35" t="s">
        <v>210</v>
      </c>
      <c r="H12" s="35">
        <v>4</v>
      </c>
      <c r="I12" s="16" t="s">
        <v>195</v>
      </c>
      <c r="J12" s="36">
        <v>46184</v>
      </c>
      <c r="K12" s="37">
        <f t="shared" si="0"/>
        <v>46189</v>
      </c>
      <c r="L12" s="38">
        <f t="shared" si="1"/>
        <v>0.8</v>
      </c>
      <c r="M12" s="39">
        <v>0</v>
      </c>
    </row>
    <row r="13" spans="1:13" ht="15" customHeight="1">
      <c r="A13" s="40" t="s">
        <v>211</v>
      </c>
      <c r="B13" s="42" t="s">
        <v>196</v>
      </c>
      <c r="C13" s="14" t="s">
        <v>212</v>
      </c>
      <c r="D13" s="14" t="s">
        <v>213</v>
      </c>
      <c r="E13" s="17" t="s">
        <v>214</v>
      </c>
      <c r="F13" s="17" t="s">
        <v>215</v>
      </c>
      <c r="G13" s="29" t="s">
        <v>93</v>
      </c>
      <c r="H13" s="29">
        <v>3</v>
      </c>
      <c r="I13" s="17" t="s">
        <v>200</v>
      </c>
      <c r="J13" s="30">
        <v>46188</v>
      </c>
      <c r="K13" s="31">
        <f t="shared" si="0"/>
        <v>46190</v>
      </c>
      <c r="L13" s="32">
        <f t="shared" si="1"/>
        <v>0.6</v>
      </c>
      <c r="M13" s="33">
        <v>0</v>
      </c>
    </row>
    <row r="14" spans="1:13" ht="15" customHeight="1">
      <c r="A14" s="40" t="s">
        <v>216</v>
      </c>
      <c r="B14" s="41" t="s">
        <v>196</v>
      </c>
      <c r="C14" s="16" t="s">
        <v>217</v>
      </c>
      <c r="D14" s="15" t="s">
        <v>218</v>
      </c>
      <c r="E14" s="16" t="s">
        <v>219</v>
      </c>
      <c r="F14" s="16" t="s">
        <v>100</v>
      </c>
      <c r="G14" s="35" t="s">
        <v>93</v>
      </c>
      <c r="H14" s="35">
        <v>4</v>
      </c>
      <c r="I14" s="16" t="s">
        <v>175</v>
      </c>
      <c r="J14" s="36">
        <v>46181</v>
      </c>
      <c r="K14" s="37">
        <f t="shared" si="0"/>
        <v>46184</v>
      </c>
      <c r="L14" s="38">
        <f t="shared" si="1"/>
        <v>0.8</v>
      </c>
      <c r="M14" s="39">
        <v>0</v>
      </c>
    </row>
    <row r="15" spans="1:13" ht="15" customHeight="1">
      <c r="A15" s="40" t="s">
        <v>220</v>
      </c>
      <c r="B15" s="42" t="s">
        <v>196</v>
      </c>
      <c r="C15" s="17" t="s">
        <v>221</v>
      </c>
      <c r="D15" s="14" t="s">
        <v>222</v>
      </c>
      <c r="E15" s="17" t="s">
        <v>223</v>
      </c>
      <c r="F15" s="17" t="s">
        <v>224</v>
      </c>
      <c r="G15" s="29" t="s">
        <v>93</v>
      </c>
      <c r="H15" s="29">
        <v>3</v>
      </c>
      <c r="I15" s="17" t="s">
        <v>184</v>
      </c>
      <c r="J15" s="30">
        <v>46181</v>
      </c>
      <c r="K15" s="31">
        <f t="shared" si="0"/>
        <v>46183</v>
      </c>
      <c r="L15" s="32">
        <f t="shared" si="1"/>
        <v>0.6</v>
      </c>
      <c r="M15" s="33">
        <v>0</v>
      </c>
    </row>
    <row r="16" spans="1:13" ht="15" customHeight="1">
      <c r="A16" s="40" t="s">
        <v>225</v>
      </c>
      <c r="B16" s="41" t="s">
        <v>196</v>
      </c>
      <c r="C16" s="16" t="s">
        <v>226</v>
      </c>
      <c r="D16" s="15" t="s">
        <v>227</v>
      </c>
      <c r="E16" s="16" t="s">
        <v>228</v>
      </c>
      <c r="F16" s="16" t="s">
        <v>229</v>
      </c>
      <c r="G16" s="35" t="s">
        <v>93</v>
      </c>
      <c r="H16" s="35">
        <v>3</v>
      </c>
      <c r="I16" s="16" t="s">
        <v>205</v>
      </c>
      <c r="J16" s="36">
        <v>46190</v>
      </c>
      <c r="K16" s="37">
        <f t="shared" si="0"/>
        <v>46192</v>
      </c>
      <c r="L16" s="38">
        <f t="shared" si="1"/>
        <v>0.6</v>
      </c>
      <c r="M16" s="39">
        <v>0</v>
      </c>
    </row>
    <row r="17" spans="1:13" ht="15" customHeight="1">
      <c r="A17" s="43" t="s">
        <v>230</v>
      </c>
      <c r="B17" s="44" t="s">
        <v>231</v>
      </c>
      <c r="C17" s="14" t="s">
        <v>232</v>
      </c>
      <c r="D17" s="17" t="s">
        <v>233</v>
      </c>
      <c r="E17" s="17" t="s">
        <v>234</v>
      </c>
      <c r="F17" s="17" t="s">
        <v>235</v>
      </c>
      <c r="G17" s="29" t="s">
        <v>194</v>
      </c>
      <c r="H17" s="29">
        <v>2</v>
      </c>
      <c r="I17" s="17" t="s">
        <v>195</v>
      </c>
      <c r="J17" s="30">
        <v>46188</v>
      </c>
      <c r="K17" s="31">
        <f t="shared" si="0"/>
        <v>46189</v>
      </c>
      <c r="L17" s="32">
        <f t="shared" si="1"/>
        <v>0.4</v>
      </c>
      <c r="M17" s="33">
        <v>0</v>
      </c>
    </row>
    <row r="18" spans="1:13" ht="15" customHeight="1">
      <c r="A18" s="43" t="s">
        <v>236</v>
      </c>
      <c r="B18" s="45" t="s">
        <v>231</v>
      </c>
      <c r="C18" s="16" t="s">
        <v>237</v>
      </c>
      <c r="D18" s="16" t="s">
        <v>238</v>
      </c>
      <c r="E18" s="16" t="s">
        <v>239</v>
      </c>
      <c r="F18" s="16" t="s">
        <v>144</v>
      </c>
      <c r="G18" s="35" t="s">
        <v>106</v>
      </c>
      <c r="H18" s="35">
        <v>3</v>
      </c>
      <c r="I18" s="16" t="s">
        <v>230</v>
      </c>
      <c r="J18" s="36">
        <v>46190</v>
      </c>
      <c r="K18" s="37">
        <f t="shared" si="0"/>
        <v>46192</v>
      </c>
      <c r="L18" s="38">
        <f t="shared" si="1"/>
        <v>0.6</v>
      </c>
      <c r="M18" s="39">
        <v>0</v>
      </c>
    </row>
    <row r="19" spans="1:13" ht="15" customHeight="1">
      <c r="A19" s="43" t="s">
        <v>240</v>
      </c>
      <c r="B19" s="44" t="s">
        <v>231</v>
      </c>
      <c r="C19" s="14" t="s">
        <v>241</v>
      </c>
      <c r="D19" s="17" t="s">
        <v>242</v>
      </c>
      <c r="E19" s="17" t="s">
        <v>243</v>
      </c>
      <c r="F19" s="17" t="s">
        <v>109</v>
      </c>
      <c r="G19" s="29" t="s">
        <v>93</v>
      </c>
      <c r="H19" s="29">
        <v>3</v>
      </c>
      <c r="I19" s="17" t="s">
        <v>230</v>
      </c>
      <c r="J19" s="30">
        <v>46190</v>
      </c>
      <c r="K19" s="31">
        <f t="shared" si="0"/>
        <v>46192</v>
      </c>
      <c r="L19" s="32">
        <f t="shared" si="1"/>
        <v>0.6</v>
      </c>
      <c r="M19" s="33">
        <v>0</v>
      </c>
    </row>
    <row r="20" spans="1:13" ht="15" customHeight="1">
      <c r="A20" s="43" t="s">
        <v>244</v>
      </c>
      <c r="B20" s="45" t="s">
        <v>231</v>
      </c>
      <c r="C20" s="16" t="s">
        <v>245</v>
      </c>
      <c r="D20" s="16" t="s">
        <v>246</v>
      </c>
      <c r="E20" s="16" t="s">
        <v>247</v>
      </c>
      <c r="F20" s="16" t="s">
        <v>248</v>
      </c>
      <c r="G20" s="35" t="s">
        <v>210</v>
      </c>
      <c r="H20" s="35">
        <v>2</v>
      </c>
      <c r="I20" s="16" t="s">
        <v>220</v>
      </c>
      <c r="J20" s="36">
        <v>46188</v>
      </c>
      <c r="K20" s="37">
        <f t="shared" si="0"/>
        <v>46189</v>
      </c>
      <c r="L20" s="38">
        <f t="shared" si="1"/>
        <v>0.4</v>
      </c>
      <c r="M20" s="39">
        <v>0</v>
      </c>
    </row>
    <row r="21" spans="1:13" ht="15" customHeight="1">
      <c r="A21" s="43" t="s">
        <v>249</v>
      </c>
      <c r="B21" s="44" t="s">
        <v>231</v>
      </c>
      <c r="C21" s="17" t="s">
        <v>250</v>
      </c>
      <c r="D21" s="14" t="s">
        <v>251</v>
      </c>
      <c r="E21" s="17" t="s">
        <v>252</v>
      </c>
      <c r="F21" s="17" t="s">
        <v>253</v>
      </c>
      <c r="G21" s="29" t="s">
        <v>106</v>
      </c>
      <c r="H21" s="29">
        <v>5</v>
      </c>
      <c r="I21" s="17" t="s">
        <v>205</v>
      </c>
      <c r="J21" s="30">
        <v>46188</v>
      </c>
      <c r="K21" s="31">
        <f t="shared" si="0"/>
        <v>46192</v>
      </c>
      <c r="L21" s="32">
        <f t="shared" si="1"/>
        <v>1</v>
      </c>
      <c r="M21" s="33">
        <v>0</v>
      </c>
    </row>
    <row r="22" spans="1:13" ht="15" customHeight="1">
      <c r="A22" s="43" t="s">
        <v>254</v>
      </c>
      <c r="B22" s="45" t="s">
        <v>231</v>
      </c>
      <c r="C22" s="15" t="s">
        <v>255</v>
      </c>
      <c r="D22" s="16" t="s">
        <v>256</v>
      </c>
      <c r="E22" s="16" t="s">
        <v>257</v>
      </c>
      <c r="F22" s="16" t="s">
        <v>258</v>
      </c>
      <c r="G22" s="35" t="s">
        <v>210</v>
      </c>
      <c r="H22" s="35">
        <v>5</v>
      </c>
      <c r="I22" s="16" t="s">
        <v>216</v>
      </c>
      <c r="J22" s="36">
        <v>46188</v>
      </c>
      <c r="K22" s="37">
        <f t="shared" si="0"/>
        <v>46192</v>
      </c>
      <c r="L22" s="38">
        <f t="shared" si="1"/>
        <v>1</v>
      </c>
      <c r="M22" s="39">
        <v>0</v>
      </c>
    </row>
    <row r="23" spans="1:13" ht="15" customHeight="1">
      <c r="A23" s="46" t="s">
        <v>259</v>
      </c>
      <c r="B23" s="47" t="s">
        <v>260</v>
      </c>
      <c r="C23" s="14" t="s">
        <v>261</v>
      </c>
      <c r="D23" s="14" t="s">
        <v>262</v>
      </c>
      <c r="E23" s="17" t="s">
        <v>263</v>
      </c>
      <c r="F23" s="17" t="s">
        <v>264</v>
      </c>
      <c r="G23" s="29" t="s">
        <v>106</v>
      </c>
      <c r="H23" s="29">
        <v>4</v>
      </c>
      <c r="I23" s="17" t="s">
        <v>230</v>
      </c>
      <c r="J23" s="30">
        <v>46195</v>
      </c>
      <c r="K23" s="31">
        <f t="shared" si="0"/>
        <v>46198</v>
      </c>
      <c r="L23" s="32">
        <f t="shared" si="1"/>
        <v>0.8</v>
      </c>
      <c r="M23" s="33">
        <v>0</v>
      </c>
    </row>
    <row r="24" spans="1:13" ht="15" customHeight="1">
      <c r="A24" s="46" t="s">
        <v>265</v>
      </c>
      <c r="B24" s="48" t="s">
        <v>260</v>
      </c>
      <c r="C24" s="15" t="s">
        <v>266</v>
      </c>
      <c r="D24" s="15" t="s">
        <v>267</v>
      </c>
      <c r="E24" s="16" t="s">
        <v>268</v>
      </c>
      <c r="F24" s="16" t="s">
        <v>269</v>
      </c>
      <c r="G24" s="35" t="s">
        <v>106</v>
      </c>
      <c r="H24" s="35">
        <v>5</v>
      </c>
      <c r="I24" s="16" t="s">
        <v>259</v>
      </c>
      <c r="J24" s="36">
        <v>46199</v>
      </c>
      <c r="K24" s="37">
        <f t="shared" si="0"/>
        <v>46205</v>
      </c>
      <c r="L24" s="38">
        <f t="shared" si="1"/>
        <v>1</v>
      </c>
      <c r="M24" s="39">
        <v>0</v>
      </c>
    </row>
    <row r="25" spans="1:13" ht="15" customHeight="1">
      <c r="A25" s="46" t="s">
        <v>270</v>
      </c>
      <c r="B25" s="47" t="s">
        <v>260</v>
      </c>
      <c r="C25" s="14" t="s">
        <v>271</v>
      </c>
      <c r="D25" s="14" t="s">
        <v>272</v>
      </c>
      <c r="E25" s="17" t="s">
        <v>273</v>
      </c>
      <c r="F25" s="17" t="s">
        <v>274</v>
      </c>
      <c r="G25" s="29" t="s">
        <v>210</v>
      </c>
      <c r="H25" s="29">
        <v>5</v>
      </c>
      <c r="I25" s="17" t="s">
        <v>220</v>
      </c>
      <c r="J25" s="30">
        <v>46195</v>
      </c>
      <c r="K25" s="31">
        <f t="shared" si="0"/>
        <v>46199</v>
      </c>
      <c r="L25" s="32">
        <f t="shared" si="1"/>
        <v>1</v>
      </c>
      <c r="M25" s="33">
        <v>0</v>
      </c>
    </row>
    <row r="26" spans="1:13" ht="15" customHeight="1">
      <c r="A26" s="46" t="s">
        <v>275</v>
      </c>
      <c r="B26" s="48" t="s">
        <v>260</v>
      </c>
      <c r="C26" s="15" t="s">
        <v>276</v>
      </c>
      <c r="D26" s="16" t="s">
        <v>277</v>
      </c>
      <c r="E26" s="16" t="s">
        <v>278</v>
      </c>
      <c r="F26" s="16" t="s">
        <v>120</v>
      </c>
      <c r="G26" s="35" t="s">
        <v>93</v>
      </c>
      <c r="H26" s="35">
        <v>5</v>
      </c>
      <c r="I26" s="16" t="s">
        <v>211</v>
      </c>
      <c r="J26" s="36">
        <v>46195</v>
      </c>
      <c r="K26" s="37">
        <f t="shared" si="0"/>
        <v>46199</v>
      </c>
      <c r="L26" s="38">
        <f t="shared" si="1"/>
        <v>1</v>
      </c>
      <c r="M26" s="39">
        <v>0</v>
      </c>
    </row>
    <row r="27" spans="1:13" ht="15" customHeight="1">
      <c r="A27" s="46" t="s">
        <v>279</v>
      </c>
      <c r="B27" s="47" t="s">
        <v>260</v>
      </c>
      <c r="C27" s="17" t="s">
        <v>280</v>
      </c>
      <c r="D27" s="14" t="s">
        <v>281</v>
      </c>
      <c r="E27" s="17" t="s">
        <v>282</v>
      </c>
      <c r="F27" s="17" t="s">
        <v>283</v>
      </c>
      <c r="G27" s="29" t="s">
        <v>194</v>
      </c>
      <c r="H27" s="29">
        <v>4</v>
      </c>
      <c r="I27" s="17" t="s">
        <v>270</v>
      </c>
      <c r="J27" s="30">
        <v>46202</v>
      </c>
      <c r="K27" s="31">
        <f t="shared" si="0"/>
        <v>46205</v>
      </c>
      <c r="L27" s="32">
        <f t="shared" si="1"/>
        <v>0.8</v>
      </c>
      <c r="M27" s="33">
        <v>0</v>
      </c>
    </row>
    <row r="28" spans="1:13" ht="15" customHeight="1">
      <c r="A28" s="46" t="s">
        <v>284</v>
      </c>
      <c r="B28" s="48" t="s">
        <v>260</v>
      </c>
      <c r="C28" s="16" t="s">
        <v>285</v>
      </c>
      <c r="D28" s="15" t="s">
        <v>286</v>
      </c>
      <c r="E28" s="16" t="s">
        <v>287</v>
      </c>
      <c r="F28" s="16" t="s">
        <v>288</v>
      </c>
      <c r="G28" s="35" t="s">
        <v>210</v>
      </c>
      <c r="H28" s="35">
        <v>3</v>
      </c>
      <c r="I28" s="16" t="s">
        <v>289</v>
      </c>
      <c r="J28" s="36">
        <v>46206</v>
      </c>
      <c r="K28" s="37">
        <f t="shared" si="0"/>
        <v>46210</v>
      </c>
      <c r="L28" s="38">
        <f t="shared" si="1"/>
        <v>0.6</v>
      </c>
      <c r="M28" s="39">
        <v>0</v>
      </c>
    </row>
    <row r="29" spans="1:13" ht="15" customHeight="1">
      <c r="A29" s="49" t="s">
        <v>290</v>
      </c>
      <c r="B29" s="50" t="s">
        <v>291</v>
      </c>
      <c r="C29" s="17" t="s">
        <v>292</v>
      </c>
      <c r="D29" s="14" t="s">
        <v>293</v>
      </c>
      <c r="E29" s="17" t="s">
        <v>294</v>
      </c>
      <c r="F29" s="17" t="s">
        <v>269</v>
      </c>
      <c r="G29" s="29" t="s">
        <v>106</v>
      </c>
      <c r="H29" s="29">
        <v>5</v>
      </c>
      <c r="I29" s="17" t="s">
        <v>275</v>
      </c>
      <c r="J29" s="30">
        <v>46195</v>
      </c>
      <c r="K29" s="31">
        <f t="shared" si="0"/>
        <v>46199</v>
      </c>
      <c r="L29" s="32">
        <f t="shared" si="1"/>
        <v>1</v>
      </c>
      <c r="M29" s="33">
        <v>0</v>
      </c>
    </row>
    <row r="30" spans="1:13" ht="15" customHeight="1">
      <c r="A30" s="49" t="s">
        <v>295</v>
      </c>
      <c r="B30" s="51" t="s">
        <v>291</v>
      </c>
      <c r="C30" s="15" t="s">
        <v>296</v>
      </c>
      <c r="D30" s="15" t="s">
        <v>297</v>
      </c>
      <c r="E30" s="16" t="s">
        <v>298</v>
      </c>
      <c r="F30" s="16" t="s">
        <v>299</v>
      </c>
      <c r="G30" s="35" t="s">
        <v>106</v>
      </c>
      <c r="H30" s="35">
        <v>5</v>
      </c>
      <c r="I30" s="16" t="s">
        <v>290</v>
      </c>
      <c r="J30" s="36">
        <v>46202</v>
      </c>
      <c r="K30" s="37">
        <f t="shared" si="0"/>
        <v>46206</v>
      </c>
      <c r="L30" s="38">
        <f t="shared" si="1"/>
        <v>1</v>
      </c>
      <c r="M30" s="39">
        <v>0</v>
      </c>
    </row>
    <row r="31" spans="1:13" ht="15" customHeight="1">
      <c r="A31" s="49" t="s">
        <v>300</v>
      </c>
      <c r="B31" s="50" t="s">
        <v>291</v>
      </c>
      <c r="C31" s="14" t="s">
        <v>301</v>
      </c>
      <c r="D31" s="14" t="s">
        <v>302</v>
      </c>
      <c r="E31" s="17" t="s">
        <v>303</v>
      </c>
      <c r="F31" s="17" t="s">
        <v>304</v>
      </c>
      <c r="G31" s="29" t="s">
        <v>305</v>
      </c>
      <c r="H31" s="29">
        <v>4</v>
      </c>
      <c r="I31" s="17" t="s">
        <v>290</v>
      </c>
      <c r="J31" s="30">
        <v>46202</v>
      </c>
      <c r="K31" s="31">
        <f t="shared" si="0"/>
        <v>46205</v>
      </c>
      <c r="L31" s="32">
        <f t="shared" si="1"/>
        <v>0.8</v>
      </c>
      <c r="M31" s="33">
        <v>0</v>
      </c>
    </row>
    <row r="32" spans="1:13" ht="15" customHeight="1">
      <c r="A32" s="49" t="s">
        <v>306</v>
      </c>
      <c r="B32" s="51" t="s">
        <v>291</v>
      </c>
      <c r="C32" s="15" t="s">
        <v>307</v>
      </c>
      <c r="D32" s="15" t="s">
        <v>308</v>
      </c>
      <c r="E32" s="16" t="s">
        <v>309</v>
      </c>
      <c r="F32" s="16" t="s">
        <v>310</v>
      </c>
      <c r="G32" s="35" t="s">
        <v>305</v>
      </c>
      <c r="H32" s="35">
        <v>2</v>
      </c>
      <c r="I32" s="16" t="s">
        <v>290</v>
      </c>
      <c r="J32" s="36">
        <v>46202</v>
      </c>
      <c r="K32" s="37">
        <f t="shared" si="0"/>
        <v>46203</v>
      </c>
      <c r="L32" s="38">
        <f t="shared" si="1"/>
        <v>0.4</v>
      </c>
      <c r="M32" s="39">
        <v>0</v>
      </c>
    </row>
    <row r="33" spans="1:13" ht="15" customHeight="1">
      <c r="A33" s="49" t="s">
        <v>311</v>
      </c>
      <c r="B33" s="50" t="s">
        <v>291</v>
      </c>
      <c r="C33" s="14" t="s">
        <v>312</v>
      </c>
      <c r="D33" s="14" t="s">
        <v>313</v>
      </c>
      <c r="E33" s="17" t="s">
        <v>314</v>
      </c>
      <c r="F33" s="17" t="s">
        <v>315</v>
      </c>
      <c r="G33" s="29" t="s">
        <v>210</v>
      </c>
      <c r="H33" s="29">
        <v>5</v>
      </c>
      <c r="I33" s="17" t="s">
        <v>290</v>
      </c>
      <c r="J33" s="30">
        <v>46202</v>
      </c>
      <c r="K33" s="31">
        <f t="shared" si="0"/>
        <v>46206</v>
      </c>
      <c r="L33" s="32">
        <f t="shared" si="1"/>
        <v>1</v>
      </c>
      <c r="M33" s="33">
        <v>0</v>
      </c>
    </row>
    <row r="34" spans="1:13" ht="15" customHeight="1">
      <c r="A34" s="49" t="s">
        <v>316</v>
      </c>
      <c r="B34" s="51" t="s">
        <v>291</v>
      </c>
      <c r="C34" s="15" t="s">
        <v>317</v>
      </c>
      <c r="D34" s="16" t="s">
        <v>318</v>
      </c>
      <c r="E34" s="16" t="s">
        <v>319</v>
      </c>
      <c r="F34" s="16" t="s">
        <v>320</v>
      </c>
      <c r="G34" s="35" t="s">
        <v>194</v>
      </c>
      <c r="H34" s="35">
        <v>3</v>
      </c>
      <c r="I34" s="16" t="s">
        <v>311</v>
      </c>
      <c r="J34" s="36">
        <v>46209</v>
      </c>
      <c r="K34" s="37">
        <f t="shared" si="0"/>
        <v>46211</v>
      </c>
      <c r="L34" s="38">
        <f t="shared" si="1"/>
        <v>0.6</v>
      </c>
      <c r="M34" s="39">
        <v>0</v>
      </c>
    </row>
    <row r="35" spans="1:13" ht="26.25" customHeight="1">
      <c r="A35" s="52" t="s">
        <v>321</v>
      </c>
      <c r="B35" s="53" t="s">
        <v>322</v>
      </c>
      <c r="C35" s="14" t="s">
        <v>323</v>
      </c>
      <c r="D35" s="14" t="s">
        <v>324</v>
      </c>
      <c r="E35" s="17" t="s">
        <v>325</v>
      </c>
      <c r="F35" s="17" t="s">
        <v>326</v>
      </c>
      <c r="G35" s="29" t="s">
        <v>93</v>
      </c>
      <c r="H35" s="29">
        <v>5</v>
      </c>
      <c r="I35" s="17" t="s">
        <v>259</v>
      </c>
      <c r="J35" s="30">
        <v>46216</v>
      </c>
      <c r="K35" s="31">
        <f t="shared" si="0"/>
        <v>46220</v>
      </c>
      <c r="L35" s="32">
        <f t="shared" si="1"/>
        <v>1</v>
      </c>
      <c r="M35" s="33">
        <v>0</v>
      </c>
    </row>
    <row r="36" spans="1:13" ht="26.25" customHeight="1">
      <c r="A36" s="52" t="s">
        <v>327</v>
      </c>
      <c r="B36" s="54" t="s">
        <v>322</v>
      </c>
      <c r="C36" s="16" t="s">
        <v>328</v>
      </c>
      <c r="D36" s="16" t="s">
        <v>329</v>
      </c>
      <c r="E36" s="16" t="s">
        <v>330</v>
      </c>
      <c r="F36" s="16" t="s">
        <v>269</v>
      </c>
      <c r="G36" s="35" t="s">
        <v>106</v>
      </c>
      <c r="H36" s="35">
        <v>5</v>
      </c>
      <c r="I36" s="16" t="s">
        <v>321</v>
      </c>
      <c r="J36" s="36">
        <v>46223</v>
      </c>
      <c r="K36" s="37">
        <f t="shared" si="0"/>
        <v>46227</v>
      </c>
      <c r="L36" s="38">
        <f t="shared" si="1"/>
        <v>1</v>
      </c>
      <c r="M36" s="39">
        <v>0</v>
      </c>
    </row>
    <row r="37" spans="1:13" ht="26.25" customHeight="1">
      <c r="A37" s="52" t="s">
        <v>331</v>
      </c>
      <c r="B37" s="53" t="s">
        <v>322</v>
      </c>
      <c r="C37" s="14" t="s">
        <v>332</v>
      </c>
      <c r="D37" s="14" t="s">
        <v>333</v>
      </c>
      <c r="E37" s="17" t="s">
        <v>334</v>
      </c>
      <c r="F37" s="17" t="s">
        <v>335</v>
      </c>
      <c r="G37" s="29" t="s">
        <v>194</v>
      </c>
      <c r="H37" s="29">
        <v>5</v>
      </c>
      <c r="I37" s="17" t="s">
        <v>275</v>
      </c>
      <c r="J37" s="30">
        <v>46216</v>
      </c>
      <c r="K37" s="31">
        <f t="shared" ref="K37:K68" si="2">WORKDAY(J37,H37-1)</f>
        <v>46220</v>
      </c>
      <c r="L37" s="32">
        <f t="shared" ref="L37:L63" si="3">ROUND(H37/5,1)</f>
        <v>1</v>
      </c>
      <c r="M37" s="33">
        <v>0</v>
      </c>
    </row>
    <row r="38" spans="1:13" ht="26.25" customHeight="1">
      <c r="A38" s="52" t="s">
        <v>336</v>
      </c>
      <c r="B38" s="54" t="s">
        <v>322</v>
      </c>
      <c r="C38" s="16" t="s">
        <v>337</v>
      </c>
      <c r="D38" s="15" t="s">
        <v>338</v>
      </c>
      <c r="E38" s="16" t="s">
        <v>339</v>
      </c>
      <c r="F38" s="16" t="s">
        <v>340</v>
      </c>
      <c r="G38" s="35" t="s">
        <v>341</v>
      </c>
      <c r="H38" s="35">
        <v>5</v>
      </c>
      <c r="I38" s="16" t="s">
        <v>311</v>
      </c>
      <c r="J38" s="36">
        <v>46216</v>
      </c>
      <c r="K38" s="37">
        <f t="shared" si="2"/>
        <v>46220</v>
      </c>
      <c r="L38" s="38">
        <f t="shared" si="3"/>
        <v>1</v>
      </c>
      <c r="M38" s="39">
        <v>0</v>
      </c>
    </row>
    <row r="39" spans="1:13" ht="26.25" customHeight="1">
      <c r="A39" s="52" t="s">
        <v>342</v>
      </c>
      <c r="B39" s="53" t="s">
        <v>322</v>
      </c>
      <c r="C39" s="14" t="s">
        <v>343</v>
      </c>
      <c r="D39" s="14" t="s">
        <v>344</v>
      </c>
      <c r="E39" s="17" t="s">
        <v>345</v>
      </c>
      <c r="F39" s="17" t="s">
        <v>346</v>
      </c>
      <c r="G39" s="29" t="s">
        <v>194</v>
      </c>
      <c r="H39" s="29">
        <v>4</v>
      </c>
      <c r="I39" s="17" t="s">
        <v>336</v>
      </c>
      <c r="J39" s="30">
        <v>46223</v>
      </c>
      <c r="K39" s="31">
        <f t="shared" si="2"/>
        <v>46226</v>
      </c>
      <c r="L39" s="32">
        <f t="shared" si="3"/>
        <v>0.8</v>
      </c>
      <c r="M39" s="33">
        <v>0</v>
      </c>
    </row>
    <row r="40" spans="1:13" ht="26.25" customHeight="1">
      <c r="A40" s="52" t="s">
        <v>347</v>
      </c>
      <c r="B40" s="54" t="s">
        <v>322</v>
      </c>
      <c r="C40" s="15" t="s">
        <v>348</v>
      </c>
      <c r="D40" s="15" t="s">
        <v>349</v>
      </c>
      <c r="E40" s="16" t="s">
        <v>350</v>
      </c>
      <c r="F40" s="16" t="s">
        <v>351</v>
      </c>
      <c r="G40" s="35" t="s">
        <v>93</v>
      </c>
      <c r="H40" s="35">
        <v>4</v>
      </c>
      <c r="I40" s="16" t="s">
        <v>331</v>
      </c>
      <c r="J40" s="36">
        <v>46223</v>
      </c>
      <c r="K40" s="37">
        <f t="shared" si="2"/>
        <v>46226</v>
      </c>
      <c r="L40" s="38">
        <f t="shared" si="3"/>
        <v>0.8</v>
      </c>
      <c r="M40" s="39">
        <v>0</v>
      </c>
    </row>
    <row r="41" spans="1:13" ht="26.25" customHeight="1">
      <c r="A41" s="55" t="s">
        <v>352</v>
      </c>
      <c r="B41" s="56" t="s">
        <v>353</v>
      </c>
      <c r="C41" s="17" t="s">
        <v>354</v>
      </c>
      <c r="D41" s="17" t="s">
        <v>355</v>
      </c>
      <c r="E41" s="17" t="s">
        <v>356</v>
      </c>
      <c r="F41" s="17" t="s">
        <v>299</v>
      </c>
      <c r="G41" s="29" t="s">
        <v>106</v>
      </c>
      <c r="H41" s="29">
        <v>5</v>
      </c>
      <c r="I41" s="17" t="s">
        <v>244</v>
      </c>
      <c r="J41" s="30">
        <v>46237</v>
      </c>
      <c r="K41" s="31">
        <f t="shared" si="2"/>
        <v>46241</v>
      </c>
      <c r="L41" s="32">
        <f t="shared" si="3"/>
        <v>1</v>
      </c>
      <c r="M41" s="33">
        <v>0</v>
      </c>
    </row>
    <row r="42" spans="1:13" ht="26.25" customHeight="1">
      <c r="A42" s="55" t="s">
        <v>357</v>
      </c>
      <c r="B42" s="57" t="s">
        <v>353</v>
      </c>
      <c r="C42" s="16" t="s">
        <v>358</v>
      </c>
      <c r="D42" s="16" t="s">
        <v>359</v>
      </c>
      <c r="E42" s="16" t="s">
        <v>360</v>
      </c>
      <c r="F42" s="16" t="s">
        <v>304</v>
      </c>
      <c r="G42" s="35" t="s">
        <v>305</v>
      </c>
      <c r="H42" s="35">
        <v>4</v>
      </c>
      <c r="I42" s="16" t="s">
        <v>352</v>
      </c>
      <c r="J42" s="36">
        <v>46244</v>
      </c>
      <c r="K42" s="37">
        <f t="shared" si="2"/>
        <v>46247</v>
      </c>
      <c r="L42" s="38">
        <f t="shared" si="3"/>
        <v>0.8</v>
      </c>
      <c r="M42" s="39">
        <v>0</v>
      </c>
    </row>
    <row r="43" spans="1:13" ht="26.25" customHeight="1">
      <c r="A43" s="55" t="s">
        <v>361</v>
      </c>
      <c r="B43" s="56" t="s">
        <v>353</v>
      </c>
      <c r="C43" s="17" t="s">
        <v>362</v>
      </c>
      <c r="D43" s="14" t="s">
        <v>363</v>
      </c>
      <c r="E43" s="17" t="s">
        <v>364</v>
      </c>
      <c r="F43" s="17" t="s">
        <v>365</v>
      </c>
      <c r="G43" s="29" t="s">
        <v>210</v>
      </c>
      <c r="H43" s="29">
        <v>5</v>
      </c>
      <c r="I43" s="17" t="s">
        <v>352</v>
      </c>
      <c r="J43" s="30">
        <v>46244</v>
      </c>
      <c r="K43" s="31">
        <f t="shared" si="2"/>
        <v>46248</v>
      </c>
      <c r="L43" s="32">
        <f t="shared" si="3"/>
        <v>1</v>
      </c>
      <c r="M43" s="33">
        <v>0</v>
      </c>
    </row>
    <row r="44" spans="1:13" ht="26.25" customHeight="1">
      <c r="A44" s="55" t="s">
        <v>366</v>
      </c>
      <c r="B44" s="57" t="s">
        <v>353</v>
      </c>
      <c r="C44" s="16" t="s">
        <v>367</v>
      </c>
      <c r="D44" s="16" t="s">
        <v>368</v>
      </c>
      <c r="E44" s="16" t="s">
        <v>369</v>
      </c>
      <c r="F44" s="16" t="s">
        <v>253</v>
      </c>
      <c r="G44" s="35" t="s">
        <v>106</v>
      </c>
      <c r="H44" s="35">
        <v>5</v>
      </c>
      <c r="I44" s="16" t="s">
        <v>352</v>
      </c>
      <c r="J44" s="36">
        <v>46244</v>
      </c>
      <c r="K44" s="37">
        <f t="shared" si="2"/>
        <v>46248</v>
      </c>
      <c r="L44" s="38">
        <f t="shared" si="3"/>
        <v>1</v>
      </c>
      <c r="M44" s="39">
        <v>0</v>
      </c>
    </row>
    <row r="45" spans="1:13" ht="26.25" customHeight="1">
      <c r="A45" s="55" t="s">
        <v>370</v>
      </c>
      <c r="B45" s="56" t="s">
        <v>353</v>
      </c>
      <c r="C45" s="14" t="s">
        <v>371</v>
      </c>
      <c r="D45" s="17" t="s">
        <v>372</v>
      </c>
      <c r="E45" s="17" t="s">
        <v>373</v>
      </c>
      <c r="F45" s="17" t="s">
        <v>315</v>
      </c>
      <c r="G45" s="29" t="s">
        <v>210</v>
      </c>
      <c r="H45" s="29">
        <v>5</v>
      </c>
      <c r="I45" s="17" t="s">
        <v>290</v>
      </c>
      <c r="J45" s="30">
        <v>46237</v>
      </c>
      <c r="K45" s="31">
        <f t="shared" si="2"/>
        <v>46241</v>
      </c>
      <c r="L45" s="32">
        <f t="shared" si="3"/>
        <v>1</v>
      </c>
      <c r="M45" s="33">
        <v>0</v>
      </c>
    </row>
    <row r="46" spans="1:13" ht="26.25" customHeight="1">
      <c r="A46" s="55" t="s">
        <v>374</v>
      </c>
      <c r="B46" s="57" t="s">
        <v>353</v>
      </c>
      <c r="C46" s="16" t="s">
        <v>375</v>
      </c>
      <c r="D46" s="15" t="s">
        <v>376</v>
      </c>
      <c r="E46" s="16" t="s">
        <v>377</v>
      </c>
      <c r="F46" s="16" t="s">
        <v>378</v>
      </c>
      <c r="G46" s="35" t="s">
        <v>210</v>
      </c>
      <c r="H46" s="35">
        <v>5</v>
      </c>
      <c r="I46" s="16" t="s">
        <v>220</v>
      </c>
      <c r="J46" s="36">
        <v>46237</v>
      </c>
      <c r="K46" s="37">
        <f t="shared" si="2"/>
        <v>46241</v>
      </c>
      <c r="L46" s="38">
        <f t="shared" si="3"/>
        <v>1</v>
      </c>
      <c r="M46" s="39">
        <v>0</v>
      </c>
    </row>
    <row r="47" spans="1:13" ht="26.25" customHeight="1">
      <c r="A47" s="58" t="s">
        <v>379</v>
      </c>
      <c r="B47" s="59" t="s">
        <v>380</v>
      </c>
      <c r="C47" s="17" t="s">
        <v>381</v>
      </c>
      <c r="D47" s="14" t="s">
        <v>382</v>
      </c>
      <c r="E47" s="17" t="s">
        <v>383</v>
      </c>
      <c r="F47" s="17" t="s">
        <v>384</v>
      </c>
      <c r="G47" s="29" t="s">
        <v>305</v>
      </c>
      <c r="H47" s="29">
        <v>4</v>
      </c>
      <c r="I47" s="17" t="s">
        <v>311</v>
      </c>
      <c r="J47" s="30">
        <v>46258</v>
      </c>
      <c r="K47" s="31">
        <f t="shared" si="2"/>
        <v>46261</v>
      </c>
      <c r="L47" s="32">
        <f t="shared" si="3"/>
        <v>0.8</v>
      </c>
      <c r="M47" s="33">
        <v>0</v>
      </c>
    </row>
    <row r="48" spans="1:13" ht="26.25" customHeight="1">
      <c r="A48" s="58" t="s">
        <v>385</v>
      </c>
      <c r="B48" s="60" t="s">
        <v>380</v>
      </c>
      <c r="C48" s="16" t="s">
        <v>386</v>
      </c>
      <c r="D48" s="15" t="s">
        <v>387</v>
      </c>
      <c r="E48" s="16" t="s">
        <v>388</v>
      </c>
      <c r="F48" s="16" t="s">
        <v>269</v>
      </c>
      <c r="G48" s="35" t="s">
        <v>106</v>
      </c>
      <c r="H48" s="35">
        <v>4</v>
      </c>
      <c r="I48" s="16" t="s">
        <v>379</v>
      </c>
      <c r="J48" s="36">
        <v>46262</v>
      </c>
      <c r="K48" s="37">
        <f t="shared" si="2"/>
        <v>46267</v>
      </c>
      <c r="L48" s="38">
        <f t="shared" si="3"/>
        <v>0.8</v>
      </c>
      <c r="M48" s="39">
        <v>0</v>
      </c>
    </row>
    <row r="49" spans="1:13" ht="26.25" customHeight="1">
      <c r="A49" s="58" t="s">
        <v>389</v>
      </c>
      <c r="B49" s="59" t="s">
        <v>380</v>
      </c>
      <c r="C49" s="14" t="s">
        <v>390</v>
      </c>
      <c r="D49" s="14" t="s">
        <v>391</v>
      </c>
      <c r="E49" s="17" t="s">
        <v>392</v>
      </c>
      <c r="F49" s="17" t="s">
        <v>340</v>
      </c>
      <c r="G49" s="29" t="s">
        <v>341</v>
      </c>
      <c r="H49" s="29">
        <v>5</v>
      </c>
      <c r="I49" s="17" t="s">
        <v>331</v>
      </c>
      <c r="J49" s="30">
        <v>46258</v>
      </c>
      <c r="K49" s="31">
        <f t="shared" si="2"/>
        <v>46262</v>
      </c>
      <c r="L49" s="32">
        <f t="shared" si="3"/>
        <v>1</v>
      </c>
      <c r="M49" s="33">
        <v>0</v>
      </c>
    </row>
    <row r="50" spans="1:13" ht="26.25" customHeight="1">
      <c r="A50" s="58" t="s">
        <v>393</v>
      </c>
      <c r="B50" s="60" t="s">
        <v>380</v>
      </c>
      <c r="C50" s="15" t="s">
        <v>394</v>
      </c>
      <c r="D50" s="16" t="s">
        <v>395</v>
      </c>
      <c r="E50" s="16" t="s">
        <v>396</v>
      </c>
      <c r="F50" s="16" t="s">
        <v>397</v>
      </c>
      <c r="G50" s="35" t="s">
        <v>210</v>
      </c>
      <c r="H50" s="35">
        <v>5</v>
      </c>
      <c r="I50" s="16" t="s">
        <v>379</v>
      </c>
      <c r="J50" s="36">
        <v>46262</v>
      </c>
      <c r="K50" s="37">
        <f t="shared" si="2"/>
        <v>46268</v>
      </c>
      <c r="L50" s="38">
        <f t="shared" si="3"/>
        <v>1</v>
      </c>
      <c r="M50" s="39">
        <v>0</v>
      </c>
    </row>
    <row r="51" spans="1:13" ht="26.25" customHeight="1">
      <c r="A51" s="58" t="s">
        <v>398</v>
      </c>
      <c r="B51" s="59" t="s">
        <v>380</v>
      </c>
      <c r="C51" s="14" t="s">
        <v>399</v>
      </c>
      <c r="D51" s="17" t="s">
        <v>400</v>
      </c>
      <c r="E51" s="17" t="s">
        <v>401</v>
      </c>
      <c r="F51" s="17" t="s">
        <v>402</v>
      </c>
      <c r="G51" s="29" t="s">
        <v>194</v>
      </c>
      <c r="H51" s="29">
        <v>4</v>
      </c>
      <c r="I51" s="17" t="s">
        <v>393</v>
      </c>
      <c r="J51" s="30">
        <v>46269</v>
      </c>
      <c r="K51" s="31">
        <f t="shared" si="2"/>
        <v>46274</v>
      </c>
      <c r="L51" s="32">
        <f t="shared" si="3"/>
        <v>0.8</v>
      </c>
      <c r="M51" s="33">
        <v>0</v>
      </c>
    </row>
    <row r="52" spans="1:13" ht="26.25" customHeight="1">
      <c r="A52" s="58" t="s">
        <v>403</v>
      </c>
      <c r="B52" s="60" t="s">
        <v>380</v>
      </c>
      <c r="C52" s="16" t="s">
        <v>404</v>
      </c>
      <c r="D52" s="15" t="s">
        <v>405</v>
      </c>
      <c r="E52" s="16" t="s">
        <v>406</v>
      </c>
      <c r="F52" s="16" t="s">
        <v>407</v>
      </c>
      <c r="G52" s="35" t="s">
        <v>194</v>
      </c>
      <c r="H52" s="35">
        <v>3</v>
      </c>
      <c r="I52" s="16" t="s">
        <v>366</v>
      </c>
      <c r="J52" s="36">
        <v>46258</v>
      </c>
      <c r="K52" s="37">
        <f t="shared" si="2"/>
        <v>46260</v>
      </c>
      <c r="L52" s="38">
        <f t="shared" si="3"/>
        <v>0.6</v>
      </c>
      <c r="M52" s="39">
        <v>0</v>
      </c>
    </row>
    <row r="53" spans="1:13" ht="15" customHeight="1">
      <c r="A53" s="61" t="s">
        <v>408</v>
      </c>
      <c r="B53" s="62" t="s">
        <v>409</v>
      </c>
      <c r="C53" s="14" t="s">
        <v>410</v>
      </c>
      <c r="D53" s="14" t="s">
        <v>411</v>
      </c>
      <c r="E53" s="17" t="s">
        <v>412</v>
      </c>
      <c r="F53" s="17" t="s">
        <v>288</v>
      </c>
      <c r="G53" s="29" t="s">
        <v>210</v>
      </c>
      <c r="H53" s="29">
        <v>5</v>
      </c>
      <c r="I53" s="17" t="s">
        <v>403</v>
      </c>
      <c r="J53" s="30">
        <v>46272</v>
      </c>
      <c r="K53" s="31">
        <f t="shared" si="2"/>
        <v>46276</v>
      </c>
      <c r="L53" s="32">
        <f t="shared" si="3"/>
        <v>1</v>
      </c>
      <c r="M53" s="33">
        <v>0</v>
      </c>
    </row>
    <row r="54" spans="1:13" ht="15" customHeight="1">
      <c r="A54" s="61" t="s">
        <v>413</v>
      </c>
      <c r="B54" s="63" t="s">
        <v>409</v>
      </c>
      <c r="C54" s="15" t="s">
        <v>414</v>
      </c>
      <c r="D54" s="16" t="s">
        <v>415</v>
      </c>
      <c r="E54" s="16" t="s">
        <v>416</v>
      </c>
      <c r="F54" s="16" t="s">
        <v>417</v>
      </c>
      <c r="G54" s="35" t="s">
        <v>93</v>
      </c>
      <c r="H54" s="35">
        <v>4</v>
      </c>
      <c r="I54" s="16" t="s">
        <v>408</v>
      </c>
      <c r="J54" s="36">
        <v>46279</v>
      </c>
      <c r="K54" s="37">
        <f t="shared" si="2"/>
        <v>46282</v>
      </c>
      <c r="L54" s="38">
        <f t="shared" si="3"/>
        <v>0.8</v>
      </c>
      <c r="M54" s="39">
        <v>0</v>
      </c>
    </row>
    <row r="55" spans="1:13" ht="15" customHeight="1">
      <c r="A55" s="61" t="s">
        <v>418</v>
      </c>
      <c r="B55" s="62" t="s">
        <v>409</v>
      </c>
      <c r="C55" s="14" t="s">
        <v>419</v>
      </c>
      <c r="D55" s="14" t="s">
        <v>420</v>
      </c>
      <c r="E55" s="17" t="s">
        <v>421</v>
      </c>
      <c r="F55" s="17" t="s">
        <v>422</v>
      </c>
      <c r="G55" s="29" t="s">
        <v>194</v>
      </c>
      <c r="H55" s="29">
        <v>3</v>
      </c>
      <c r="I55" s="17" t="s">
        <v>408</v>
      </c>
      <c r="J55" s="30">
        <v>46279</v>
      </c>
      <c r="K55" s="31">
        <f t="shared" si="2"/>
        <v>46281</v>
      </c>
      <c r="L55" s="32">
        <f t="shared" si="3"/>
        <v>0.6</v>
      </c>
      <c r="M55" s="33">
        <v>0</v>
      </c>
    </row>
    <row r="56" spans="1:13" ht="15" customHeight="1">
      <c r="A56" s="61" t="s">
        <v>423</v>
      </c>
      <c r="B56" s="63" t="s">
        <v>409</v>
      </c>
      <c r="C56" s="15" t="s">
        <v>424</v>
      </c>
      <c r="D56" s="16" t="s">
        <v>425</v>
      </c>
      <c r="E56" s="16" t="s">
        <v>426</v>
      </c>
      <c r="F56" s="16" t="s">
        <v>144</v>
      </c>
      <c r="G56" s="35" t="s">
        <v>106</v>
      </c>
      <c r="H56" s="35">
        <v>3</v>
      </c>
      <c r="I56" s="16" t="s">
        <v>408</v>
      </c>
      <c r="J56" s="36">
        <v>46279</v>
      </c>
      <c r="K56" s="37">
        <f t="shared" si="2"/>
        <v>46281</v>
      </c>
      <c r="L56" s="38">
        <f t="shared" si="3"/>
        <v>0.6</v>
      </c>
      <c r="M56" s="39">
        <v>0</v>
      </c>
    </row>
    <row r="57" spans="1:13" ht="15" customHeight="1">
      <c r="A57" s="61" t="s">
        <v>427</v>
      </c>
      <c r="B57" s="62" t="s">
        <v>409</v>
      </c>
      <c r="C57" s="14" t="s">
        <v>428</v>
      </c>
      <c r="D57" s="14" t="s">
        <v>429</v>
      </c>
      <c r="E57" s="17" t="s">
        <v>430</v>
      </c>
      <c r="F57" s="17" t="s">
        <v>431</v>
      </c>
      <c r="G57" s="29" t="s">
        <v>194</v>
      </c>
      <c r="H57" s="29">
        <v>5</v>
      </c>
      <c r="I57" s="17" t="s">
        <v>408</v>
      </c>
      <c r="J57" s="30">
        <v>46279</v>
      </c>
      <c r="K57" s="31">
        <f t="shared" si="2"/>
        <v>46283</v>
      </c>
      <c r="L57" s="32">
        <f t="shared" si="3"/>
        <v>1</v>
      </c>
      <c r="M57" s="33">
        <v>0</v>
      </c>
    </row>
    <row r="58" spans="1:13" ht="15" customHeight="1">
      <c r="A58" s="61" t="s">
        <v>432</v>
      </c>
      <c r="B58" s="63" t="s">
        <v>409</v>
      </c>
      <c r="C58" s="16" t="s">
        <v>433</v>
      </c>
      <c r="D58" s="15" t="s">
        <v>434</v>
      </c>
      <c r="E58" s="16" t="s">
        <v>435</v>
      </c>
      <c r="F58" s="16" t="s">
        <v>436</v>
      </c>
      <c r="G58" s="35" t="s">
        <v>93</v>
      </c>
      <c r="H58" s="35">
        <v>1</v>
      </c>
      <c r="I58" s="16" t="s">
        <v>437</v>
      </c>
      <c r="J58" s="36">
        <v>46286</v>
      </c>
      <c r="K58" s="37">
        <f t="shared" si="2"/>
        <v>46286</v>
      </c>
      <c r="L58" s="38">
        <f t="shared" si="3"/>
        <v>0.2</v>
      </c>
      <c r="M58" s="39">
        <v>0</v>
      </c>
    </row>
    <row r="59" spans="1:13" ht="21.75" customHeight="1">
      <c r="A59" s="64" t="s">
        <v>438</v>
      </c>
      <c r="B59" s="65" t="s">
        <v>439</v>
      </c>
      <c r="C59" s="17" t="s">
        <v>440</v>
      </c>
      <c r="D59" s="17" t="s">
        <v>441</v>
      </c>
      <c r="E59" s="14" t="s">
        <v>442</v>
      </c>
      <c r="F59" s="17" t="s">
        <v>443</v>
      </c>
      <c r="G59" s="29" t="s">
        <v>210</v>
      </c>
      <c r="H59" s="29">
        <v>20</v>
      </c>
      <c r="I59" s="17" t="s">
        <v>432</v>
      </c>
      <c r="J59" s="30">
        <v>46286</v>
      </c>
      <c r="K59" s="31">
        <f t="shared" si="2"/>
        <v>46311</v>
      </c>
      <c r="L59" s="32">
        <f t="shared" si="3"/>
        <v>4</v>
      </c>
      <c r="M59" s="33">
        <v>0</v>
      </c>
    </row>
    <row r="60" spans="1:13" ht="15" customHeight="1">
      <c r="A60" s="64" t="s">
        <v>444</v>
      </c>
      <c r="B60" s="66" t="s">
        <v>439</v>
      </c>
      <c r="C60" s="16" t="s">
        <v>445</v>
      </c>
      <c r="D60" s="16" t="s">
        <v>446</v>
      </c>
      <c r="E60" s="16" t="s">
        <v>447</v>
      </c>
      <c r="F60" s="16" t="s">
        <v>448</v>
      </c>
      <c r="G60" s="35" t="s">
        <v>93</v>
      </c>
      <c r="H60" s="35">
        <v>5</v>
      </c>
      <c r="I60" s="16" t="s">
        <v>438</v>
      </c>
      <c r="J60" s="36">
        <v>46314</v>
      </c>
      <c r="K60" s="37">
        <f t="shared" si="2"/>
        <v>46318</v>
      </c>
      <c r="L60" s="38">
        <f t="shared" si="3"/>
        <v>1</v>
      </c>
      <c r="M60" s="39">
        <v>0</v>
      </c>
    </row>
    <row r="61" spans="1:13" ht="15" customHeight="1">
      <c r="A61" s="64" t="s">
        <v>449</v>
      </c>
      <c r="B61" s="65" t="s">
        <v>439</v>
      </c>
      <c r="C61" s="14" t="s">
        <v>450</v>
      </c>
      <c r="D61" s="14" t="s">
        <v>451</v>
      </c>
      <c r="E61" s="17" t="s">
        <v>452</v>
      </c>
      <c r="F61" s="17" t="s">
        <v>453</v>
      </c>
      <c r="G61" s="29" t="s">
        <v>210</v>
      </c>
      <c r="H61" s="29">
        <v>5</v>
      </c>
      <c r="I61" s="17" t="s">
        <v>438</v>
      </c>
      <c r="J61" s="30">
        <v>46314</v>
      </c>
      <c r="K61" s="31">
        <f t="shared" si="2"/>
        <v>46318</v>
      </c>
      <c r="L61" s="32">
        <f t="shared" si="3"/>
        <v>1</v>
      </c>
      <c r="M61" s="33">
        <v>0</v>
      </c>
    </row>
    <row r="62" spans="1:13" ht="15" customHeight="1">
      <c r="A62" s="64" t="s">
        <v>454</v>
      </c>
      <c r="B62" s="66" t="s">
        <v>439</v>
      </c>
      <c r="C62" s="15" t="s">
        <v>455</v>
      </c>
      <c r="D62" s="16" t="s">
        <v>456</v>
      </c>
      <c r="E62" s="16" t="s">
        <v>457</v>
      </c>
      <c r="F62" s="16" t="s">
        <v>458</v>
      </c>
      <c r="G62" s="35" t="s">
        <v>93</v>
      </c>
      <c r="H62" s="35">
        <v>3</v>
      </c>
      <c r="I62" s="16" t="s">
        <v>444</v>
      </c>
      <c r="J62" s="36">
        <v>46321</v>
      </c>
      <c r="K62" s="37">
        <f t="shared" si="2"/>
        <v>46323</v>
      </c>
      <c r="L62" s="38">
        <f t="shared" si="3"/>
        <v>0.6</v>
      </c>
      <c r="M62" s="39">
        <v>0</v>
      </c>
    </row>
    <row r="63" spans="1:13" ht="15" customHeight="1">
      <c r="A63" s="64" t="s">
        <v>459</v>
      </c>
      <c r="B63" s="65" t="s">
        <v>439</v>
      </c>
      <c r="C63" s="17" t="s">
        <v>460</v>
      </c>
      <c r="D63" s="14" t="s">
        <v>461</v>
      </c>
      <c r="E63" s="17" t="s">
        <v>462</v>
      </c>
      <c r="F63" s="17" t="s">
        <v>91</v>
      </c>
      <c r="G63" s="29" t="s">
        <v>93</v>
      </c>
      <c r="H63" s="29">
        <v>3</v>
      </c>
      <c r="I63" s="17" t="s">
        <v>454</v>
      </c>
      <c r="J63" s="30">
        <v>46324</v>
      </c>
      <c r="K63" s="31">
        <f t="shared" si="2"/>
        <v>46328</v>
      </c>
      <c r="L63" s="32">
        <f t="shared" si="3"/>
        <v>0.6</v>
      </c>
      <c r="M63" s="33">
        <v>0</v>
      </c>
    </row>
    <row r="64" spans="1:13" ht="15" customHeight="1">
      <c r="A64" s="6" t="s">
        <v>463</v>
      </c>
      <c r="B64" s="6"/>
      <c r="C64" s="6"/>
      <c r="D64" s="6"/>
      <c r="E64" s="6"/>
      <c r="F64" s="6"/>
      <c r="G64" s="6"/>
      <c r="H64" s="67">
        <f>SUM(H5:H63)</f>
        <v>238</v>
      </c>
      <c r="I64" s="68"/>
      <c r="J64" s="69">
        <f>MIN(J5:J63)</f>
        <v>46174</v>
      </c>
      <c r="K64" s="69">
        <f>MAX(K5:K63)</f>
        <v>46328</v>
      </c>
      <c r="L64" s="67">
        <f>ROUND(SUM(H5:H63)/5,1)</f>
        <v>47.6</v>
      </c>
      <c r="M64" s="70">
        <f>AVERAGE(M5:M63)</f>
        <v>0</v>
      </c>
    </row>
  </sheetData>
  <mergeCells count="3">
    <mergeCell ref="A1:M1"/>
    <mergeCell ref="C2:M2"/>
    <mergeCell ref="A64:G64"/>
  </mergeCells>
  <phoneticPr fontId="49" type="noConversion"/>
  <pageMargins left="0.75" right="0.75" top="1" bottom="1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D67"/>
  <sheetViews>
    <sheetView showGridLines="0" zoomScaleNormal="100" workbookViewId="0">
      <pane xSplit="6" ySplit="4" topLeftCell="G7" activePane="bottomRight" state="frozen"/>
      <selection pane="topRight" activeCell="G1" sqref="G1"/>
      <selection pane="bottomLeft" activeCell="A5" sqref="A5"/>
      <selection pane="bottomRight" sqref="A1:AD1"/>
    </sheetView>
  </sheetViews>
  <sheetFormatPr defaultColWidth="8.6640625" defaultRowHeight="14.4"/>
  <cols>
    <col min="1" max="1" width="8" customWidth="1"/>
    <col min="2" max="2" width="22" customWidth="1"/>
    <col min="3" max="3" width="15" customWidth="1"/>
    <col min="4" max="5" width="7" customWidth="1"/>
    <col min="6" max="6" width="3.44140625" hidden="1" customWidth="1"/>
    <col min="7" max="30" width="3.5546875" customWidth="1"/>
  </cols>
  <sheetData>
    <row r="1" spans="1:30" ht="25.5" customHeight="1">
      <c r="A1" s="8" t="s">
        <v>464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ht="15.75" customHeight="1">
      <c r="A2" s="71" t="s">
        <v>165</v>
      </c>
      <c r="B2" s="72">
        <f>WBS!$B$2</f>
        <v>46174</v>
      </c>
      <c r="C2" s="7" t="s">
        <v>465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18" customHeight="1">
      <c r="A3" s="25" t="s">
        <v>158</v>
      </c>
      <c r="B3" s="26" t="s">
        <v>159</v>
      </c>
      <c r="C3" s="26" t="s">
        <v>162</v>
      </c>
      <c r="D3" s="26" t="s">
        <v>165</v>
      </c>
      <c r="E3" s="26" t="s">
        <v>166</v>
      </c>
      <c r="F3" s="73" t="s">
        <v>466</v>
      </c>
      <c r="G3" s="74" t="s">
        <v>467</v>
      </c>
      <c r="H3" s="74" t="s">
        <v>468</v>
      </c>
      <c r="I3" s="74" t="s">
        <v>469</v>
      </c>
      <c r="J3" s="74" t="s">
        <v>470</v>
      </c>
      <c r="K3" s="74" t="s">
        <v>471</v>
      </c>
      <c r="L3" s="74" t="s">
        <v>472</v>
      </c>
      <c r="M3" s="74" t="s">
        <v>473</v>
      </c>
      <c r="N3" s="74" t="s">
        <v>474</v>
      </c>
      <c r="O3" s="74" t="s">
        <v>475</v>
      </c>
      <c r="P3" s="74" t="s">
        <v>476</v>
      </c>
      <c r="Q3" s="74" t="s">
        <v>477</v>
      </c>
      <c r="R3" s="74" t="s">
        <v>478</v>
      </c>
      <c r="S3" s="74" t="s">
        <v>479</v>
      </c>
      <c r="T3" s="74" t="s">
        <v>480</v>
      </c>
      <c r="U3" s="74" t="s">
        <v>481</v>
      </c>
      <c r="V3" s="74" t="s">
        <v>482</v>
      </c>
      <c r="W3" s="74" t="s">
        <v>483</v>
      </c>
      <c r="X3" s="74" t="s">
        <v>484</v>
      </c>
      <c r="Y3" s="74" t="s">
        <v>485</v>
      </c>
      <c r="Z3" s="74" t="s">
        <v>486</v>
      </c>
      <c r="AA3" s="74" t="s">
        <v>487</v>
      </c>
      <c r="AB3" s="74" t="s">
        <v>488</v>
      </c>
      <c r="AC3" s="74" t="s">
        <v>489</v>
      </c>
      <c r="AD3" s="74" t="s">
        <v>490</v>
      </c>
    </row>
    <row r="4" spans="1:30" ht="15.75" hidden="1" customHeight="1">
      <c r="A4" s="5" t="s">
        <v>491</v>
      </c>
      <c r="B4" s="5"/>
      <c r="C4" s="5"/>
      <c r="D4" s="5"/>
      <c r="E4" s="5"/>
      <c r="F4" s="75">
        <f>$B$2-WEEKDAY($B$2,3)</f>
        <v>46174</v>
      </c>
      <c r="G4" s="76">
        <f>$F$4</f>
        <v>46174</v>
      </c>
      <c r="H4" s="76">
        <f t="shared" ref="H4:AD4" si="0">G4+7</f>
        <v>46181</v>
      </c>
      <c r="I4" s="76">
        <f t="shared" si="0"/>
        <v>46188</v>
      </c>
      <c r="J4" s="76">
        <f t="shared" si="0"/>
        <v>46195</v>
      </c>
      <c r="K4" s="76">
        <f t="shared" si="0"/>
        <v>46202</v>
      </c>
      <c r="L4" s="76">
        <f t="shared" si="0"/>
        <v>46209</v>
      </c>
      <c r="M4" s="76">
        <f t="shared" si="0"/>
        <v>46216</v>
      </c>
      <c r="N4" s="76">
        <f t="shared" si="0"/>
        <v>46223</v>
      </c>
      <c r="O4" s="76">
        <f t="shared" si="0"/>
        <v>46230</v>
      </c>
      <c r="P4" s="76">
        <f t="shared" si="0"/>
        <v>46237</v>
      </c>
      <c r="Q4" s="76">
        <f t="shared" si="0"/>
        <v>46244</v>
      </c>
      <c r="R4" s="76">
        <f t="shared" si="0"/>
        <v>46251</v>
      </c>
      <c r="S4" s="76">
        <f t="shared" si="0"/>
        <v>46258</v>
      </c>
      <c r="T4" s="76">
        <f t="shared" si="0"/>
        <v>46265</v>
      </c>
      <c r="U4" s="76">
        <f t="shared" si="0"/>
        <v>46272</v>
      </c>
      <c r="V4" s="76">
        <f t="shared" si="0"/>
        <v>46279</v>
      </c>
      <c r="W4" s="76">
        <f t="shared" si="0"/>
        <v>46286</v>
      </c>
      <c r="X4" s="76">
        <f t="shared" si="0"/>
        <v>46293</v>
      </c>
      <c r="Y4" s="76">
        <f t="shared" si="0"/>
        <v>46300</v>
      </c>
      <c r="Z4" s="76">
        <f t="shared" si="0"/>
        <v>46307</v>
      </c>
      <c r="AA4" s="76">
        <f t="shared" si="0"/>
        <v>46314</v>
      </c>
      <c r="AB4" s="76">
        <f t="shared" si="0"/>
        <v>46321</v>
      </c>
      <c r="AC4" s="76">
        <f t="shared" si="0"/>
        <v>46328</v>
      </c>
      <c r="AD4" s="76">
        <f t="shared" si="0"/>
        <v>46335</v>
      </c>
    </row>
    <row r="5" spans="1:30" ht="15" customHeight="1">
      <c r="A5" s="27" t="str">
        <f>WBS!A5</f>
        <v>1.1</v>
      </c>
      <c r="B5" s="77" t="str">
        <f>WBS!C5</f>
        <v>프로젝트 킥오프</v>
      </c>
      <c r="C5" s="78" t="str">
        <f>WBS!F5</f>
        <v>PM-01</v>
      </c>
      <c r="D5" s="79">
        <f>WBS!J5</f>
        <v>46174</v>
      </c>
      <c r="E5" s="79">
        <f>WBS!K5</f>
        <v>46174</v>
      </c>
      <c r="F5" s="80">
        <v>1</v>
      </c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</row>
    <row r="6" spans="1:30" ht="15" customHeight="1">
      <c r="A6" s="27" t="str">
        <f>WBS!A6</f>
        <v>1.2</v>
      </c>
      <c r="B6" s="82" t="str">
        <f>WBS!C6</f>
        <v>기준 문서 Baseline</v>
      </c>
      <c r="C6" s="83" t="str">
        <f>WBS!F6</f>
        <v>PM-01, PL-01</v>
      </c>
      <c r="D6" s="84">
        <f>WBS!J6</f>
        <v>46175</v>
      </c>
      <c r="E6" s="84">
        <f>WBS!K6</f>
        <v>46175</v>
      </c>
      <c r="F6" s="85">
        <v>1</v>
      </c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</row>
    <row r="7" spans="1:30" ht="15" customHeight="1">
      <c r="A7" s="27" t="str">
        <f>WBS!A7</f>
        <v>1.3</v>
      </c>
      <c r="B7" s="77" t="str">
        <f>WBS!C7</f>
        <v>MVP 범위 확정</v>
      </c>
      <c r="C7" s="78" t="str">
        <f>WBS!F7</f>
        <v>PM-01</v>
      </c>
      <c r="D7" s="79">
        <f>WBS!J7</f>
        <v>46176</v>
      </c>
      <c r="E7" s="79">
        <f>WBS!K7</f>
        <v>46176</v>
      </c>
      <c r="F7" s="80">
        <v>1</v>
      </c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</row>
    <row r="8" spans="1:30" ht="15" customHeight="1">
      <c r="A8" s="27" t="str">
        <f>WBS!A8</f>
        <v>1.4</v>
      </c>
      <c r="B8" s="82" t="str">
        <f>WBS!C8</f>
        <v>리스크 등록부 작성</v>
      </c>
      <c r="C8" s="83" t="str">
        <f>WBS!F8</f>
        <v>SEC-01, PM-01</v>
      </c>
      <c r="D8" s="84">
        <f>WBS!J8</f>
        <v>46177</v>
      </c>
      <c r="E8" s="84">
        <f>WBS!K8</f>
        <v>46178</v>
      </c>
      <c r="F8" s="85">
        <v>1</v>
      </c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</row>
    <row r="9" spans="1:30" ht="15" customHeight="1">
      <c r="A9" s="27" t="str">
        <f>WBS!A9</f>
        <v>1.5</v>
      </c>
      <c r="B9" s="77" t="str">
        <f>WBS!C9</f>
        <v>현장 검증 계획</v>
      </c>
      <c r="C9" s="78" t="str">
        <f>WBS!F9</f>
        <v>BIZ-01, PL-01</v>
      </c>
      <c r="D9" s="79">
        <f>WBS!J9</f>
        <v>46177</v>
      </c>
      <c r="E9" s="79">
        <f>WBS!K9</f>
        <v>46178</v>
      </c>
      <c r="F9" s="80">
        <v>1</v>
      </c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</row>
    <row r="10" spans="1:30" ht="15" customHeight="1">
      <c r="A10" s="40" t="str">
        <f>WBS!A10</f>
        <v>2.1</v>
      </c>
      <c r="B10" s="82" t="str">
        <f>WBS!C10</f>
        <v>데이터 모델 ERD</v>
      </c>
      <c r="C10" s="83" t="str">
        <f>WBS!F10</f>
        <v>BE-01</v>
      </c>
      <c r="D10" s="84">
        <f>WBS!J10</f>
        <v>46181</v>
      </c>
      <c r="E10" s="84">
        <f>WBS!K10</f>
        <v>46183</v>
      </c>
      <c r="F10" s="85">
        <v>2</v>
      </c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</row>
    <row r="11" spans="1:30" ht="15" customHeight="1">
      <c r="A11" s="40" t="str">
        <f>WBS!A11</f>
        <v>2.2</v>
      </c>
      <c r="B11" s="77" t="str">
        <f>WBS!C11</f>
        <v>Lifecycle/RecordCategory 반영</v>
      </c>
      <c r="C11" s="78" t="str">
        <f>WBS!F11</f>
        <v>PL-01, BE-01</v>
      </c>
      <c r="D11" s="79">
        <f>WBS!J11</f>
        <v>46184</v>
      </c>
      <c r="E11" s="79">
        <f>WBS!K11</f>
        <v>46185</v>
      </c>
      <c r="F11" s="80">
        <v>2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</row>
    <row r="12" spans="1:30" ht="15" customHeight="1">
      <c r="A12" s="40" t="str">
        <f>WBS!A12</f>
        <v>2.3</v>
      </c>
      <c r="B12" s="82" t="str">
        <f>WBS!C12</f>
        <v>API 설계</v>
      </c>
      <c r="C12" s="83" t="str">
        <f>WBS!F12</f>
        <v>BE-01, BE-02</v>
      </c>
      <c r="D12" s="84">
        <f>WBS!J12</f>
        <v>46184</v>
      </c>
      <c r="E12" s="84">
        <f>WBS!K12</f>
        <v>46189</v>
      </c>
      <c r="F12" s="85">
        <v>2</v>
      </c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</row>
    <row r="13" spans="1:30" ht="15" customHeight="1">
      <c r="A13" s="40" t="str">
        <f>WBS!A13</f>
        <v>2.4</v>
      </c>
      <c r="B13" s="77" t="str">
        <f>WBS!C13</f>
        <v>권한 엔진 PoC 설계</v>
      </c>
      <c r="C13" s="78" t="str">
        <f>WBS!F13</f>
        <v>BE-01, SEC-01</v>
      </c>
      <c r="D13" s="79">
        <f>WBS!J13</f>
        <v>46188</v>
      </c>
      <c r="E13" s="79">
        <f>WBS!K13</f>
        <v>46190</v>
      </c>
      <c r="F13" s="80">
        <v>2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</row>
    <row r="14" spans="1:30" ht="15" customHeight="1">
      <c r="A14" s="40" t="str">
        <f>WBS!A14</f>
        <v>2.5</v>
      </c>
      <c r="B14" s="82" t="str">
        <f>WBS!C14</f>
        <v>UX Design Anchor</v>
      </c>
      <c r="C14" s="83" t="str">
        <f>WBS!F14</f>
        <v>UX-01</v>
      </c>
      <c r="D14" s="84">
        <f>WBS!J14</f>
        <v>46181</v>
      </c>
      <c r="E14" s="84">
        <f>WBS!K14</f>
        <v>46184</v>
      </c>
      <c r="F14" s="85">
        <v>2</v>
      </c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</row>
    <row r="15" spans="1:30" ht="15" customHeight="1">
      <c r="A15" s="40" t="str">
        <f>WBS!A15</f>
        <v>2.6</v>
      </c>
      <c r="B15" s="77" t="str">
        <f>WBS!C15</f>
        <v>FR-68 법적 문구 검토</v>
      </c>
      <c r="C15" s="78" t="str">
        <f>WBS!F15</f>
        <v>LEG-01, SEC-01</v>
      </c>
      <c r="D15" s="79">
        <f>WBS!J15</f>
        <v>46181</v>
      </c>
      <c r="E15" s="79">
        <f>WBS!K15</f>
        <v>46183</v>
      </c>
      <c r="F15" s="80">
        <v>2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</row>
    <row r="16" spans="1:30" ht="15" customHeight="1">
      <c r="A16" s="40" t="str">
        <f>WBS!A16</f>
        <v>2.7</v>
      </c>
      <c r="B16" s="82" t="str">
        <f>WBS!C16</f>
        <v>Saga/트랜잭션 경계</v>
      </c>
      <c r="C16" s="83" t="str">
        <f>WBS!F16</f>
        <v>BE-01, PL-01</v>
      </c>
      <c r="D16" s="84">
        <f>WBS!J16</f>
        <v>46190</v>
      </c>
      <c r="E16" s="84">
        <f>WBS!K16</f>
        <v>46192</v>
      </c>
      <c r="F16" s="85">
        <v>2</v>
      </c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</row>
    <row r="17" spans="1:30" ht="15" customHeight="1">
      <c r="A17" s="43" t="str">
        <f>WBS!A17</f>
        <v>3.1</v>
      </c>
      <c r="B17" s="77" t="str">
        <f>WBS!C17</f>
        <v>개발환경 정비</v>
      </c>
      <c r="C17" s="78" t="str">
        <f>WBS!F17</f>
        <v>DEVOPS-01, FE-01</v>
      </c>
      <c r="D17" s="79">
        <f>WBS!J17</f>
        <v>46188</v>
      </c>
      <c r="E17" s="79">
        <f>WBS!K17</f>
        <v>46189</v>
      </c>
      <c r="F17" s="80">
        <v>3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</row>
    <row r="18" spans="1:30" ht="15" customHeight="1">
      <c r="A18" s="43" t="str">
        <f>WBS!A18</f>
        <v>3.2</v>
      </c>
      <c r="B18" s="82" t="str">
        <f>WBS!C18</f>
        <v>CI/CD 구성</v>
      </c>
      <c r="C18" s="83" t="str">
        <f>WBS!F18</f>
        <v>DEVOPS-01</v>
      </c>
      <c r="D18" s="84">
        <f>WBS!J18</f>
        <v>46190</v>
      </c>
      <c r="E18" s="84">
        <f>WBS!K18</f>
        <v>46192</v>
      </c>
      <c r="F18" s="85">
        <v>3</v>
      </c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</row>
    <row r="19" spans="1:30" ht="15" customHeight="1">
      <c r="A19" s="43" t="str">
        <f>WBS!A19</f>
        <v>3.3</v>
      </c>
      <c r="B19" s="77" t="str">
        <f>WBS!C19</f>
        <v>상태관리 기반</v>
      </c>
      <c r="C19" s="78" t="str">
        <f>WBS!F19</f>
        <v>FE-01</v>
      </c>
      <c r="D19" s="79">
        <f>WBS!J19</f>
        <v>46190</v>
      </c>
      <c r="E19" s="79">
        <f>WBS!K19</f>
        <v>46192</v>
      </c>
      <c r="F19" s="80">
        <v>3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</row>
    <row r="20" spans="1:30" ht="15" customHeight="1">
      <c r="A20" s="43" t="str">
        <f>WBS!A20</f>
        <v>3.4</v>
      </c>
      <c r="B20" s="82" t="str">
        <f>WBS!C20</f>
        <v>Disclaimer 컴포넌트</v>
      </c>
      <c r="C20" s="83" t="str">
        <f>WBS!F20</f>
        <v>FE-01, UX-02</v>
      </c>
      <c r="D20" s="84">
        <f>WBS!J20</f>
        <v>46188</v>
      </c>
      <c r="E20" s="84">
        <f>WBS!K20</f>
        <v>46189</v>
      </c>
      <c r="F20" s="85">
        <v>3</v>
      </c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</row>
    <row r="21" spans="1:30" ht="15" customHeight="1">
      <c r="A21" s="43" t="str">
        <f>WBS!A21</f>
        <v>3.5</v>
      </c>
      <c r="B21" s="77" t="str">
        <f>WBS!C21</f>
        <v>AI/Vision/OCR PoC</v>
      </c>
      <c r="C21" s="78" t="str">
        <f>WBS!F21</f>
        <v>AI-01, BE-03</v>
      </c>
      <c r="D21" s="79">
        <f>WBS!J21</f>
        <v>46188</v>
      </c>
      <c r="E21" s="79">
        <f>WBS!K21</f>
        <v>46192</v>
      </c>
      <c r="F21" s="80">
        <v>3</v>
      </c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</row>
    <row r="22" spans="1:30" ht="15" customHeight="1">
      <c r="A22" s="43" t="str">
        <f>WBS!A22</f>
        <v>3.6</v>
      </c>
      <c r="B22" s="82" t="str">
        <f>WBS!C22</f>
        <v>빠른 선택 UI PoC</v>
      </c>
      <c r="C22" s="83" t="str">
        <f>WBS!F22</f>
        <v>UX-01, FE-02, PL-01</v>
      </c>
      <c r="D22" s="84">
        <f>WBS!J22</f>
        <v>46188</v>
      </c>
      <c r="E22" s="84">
        <f>WBS!K22</f>
        <v>46192</v>
      </c>
      <c r="F22" s="85">
        <v>3</v>
      </c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</row>
    <row r="23" spans="1:30" ht="15" customHeight="1">
      <c r="A23" s="46" t="str">
        <f>WBS!A23</f>
        <v>4.1</v>
      </c>
      <c r="B23" s="77" t="str">
        <f>WBS!C23</f>
        <v>인증/역할 모델</v>
      </c>
      <c r="C23" s="78" t="str">
        <f>WBS!F23</f>
        <v>BE-02, FE-02</v>
      </c>
      <c r="D23" s="79">
        <f>WBS!J23</f>
        <v>46195</v>
      </c>
      <c r="E23" s="79">
        <f>WBS!K23</f>
        <v>46198</v>
      </c>
      <c r="F23" s="80">
        <v>4</v>
      </c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</row>
    <row r="24" spans="1:30" ht="15" customHeight="1">
      <c r="A24" s="46" t="str">
        <f>WBS!A24</f>
        <v>4.2</v>
      </c>
      <c r="B24" s="82" t="str">
        <f>WBS!C24</f>
        <v>보호자 온보딩 7-Step</v>
      </c>
      <c r="C24" s="83" t="str">
        <f>WBS!F24</f>
        <v>FE-02, BE-02</v>
      </c>
      <c r="D24" s="84">
        <f>WBS!J24</f>
        <v>46199</v>
      </c>
      <c r="E24" s="84">
        <f>WBS!K24</f>
        <v>46205</v>
      </c>
      <c r="F24" s="85">
        <v>4</v>
      </c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</row>
    <row r="25" spans="1:30" ht="15" customHeight="1">
      <c r="A25" s="46" t="str">
        <f>WBS!A25</f>
        <v>4.3</v>
      </c>
      <c r="B25" s="77" t="str">
        <f>WBS!C25</f>
        <v>민감정보 분리 동의</v>
      </c>
      <c r="C25" s="78" t="str">
        <f>WBS!F25</f>
        <v>SEC-01, BE-02, FE-01</v>
      </c>
      <c r="D25" s="79">
        <f>WBS!J25</f>
        <v>46195</v>
      </c>
      <c r="E25" s="79">
        <f>WBS!K25</f>
        <v>46199</v>
      </c>
      <c r="F25" s="80">
        <v>4</v>
      </c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</row>
    <row r="26" spans="1:30" ht="15" customHeight="1">
      <c r="A26" s="46" t="str">
        <f>WBS!A26</f>
        <v>4.4</v>
      </c>
      <c r="B26" s="82" t="str">
        <f>WBS!C26</f>
        <v>권한 매트릭스 v1</v>
      </c>
      <c r="C26" s="83" t="str">
        <f>WBS!F26</f>
        <v>BE-01</v>
      </c>
      <c r="D26" s="84">
        <f>WBS!J26</f>
        <v>46195</v>
      </c>
      <c r="E26" s="84">
        <f>WBS!K26</f>
        <v>46199</v>
      </c>
      <c r="F26" s="85">
        <v>4</v>
      </c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</row>
    <row r="27" spans="1:30" ht="15" customHeight="1">
      <c r="A27" s="46" t="str">
        <f>WBS!A27</f>
        <v>4.5</v>
      </c>
      <c r="B27" s="77" t="str">
        <f>WBS!C27</f>
        <v>Audit Log 기본</v>
      </c>
      <c r="C27" s="78" t="str">
        <f>WBS!F27</f>
        <v>BE-03, SEC-01</v>
      </c>
      <c r="D27" s="79">
        <f>WBS!J27</f>
        <v>46202</v>
      </c>
      <c r="E27" s="79">
        <f>WBS!K27</f>
        <v>46205</v>
      </c>
      <c r="F27" s="80">
        <v>4</v>
      </c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</row>
    <row r="28" spans="1:30" ht="15" customHeight="1">
      <c r="A28" s="46" t="str">
        <f>WBS!A28</f>
        <v>4.6</v>
      </c>
      <c r="B28" s="82" t="str">
        <f>WBS!C28</f>
        <v>E2E 회귀 1차</v>
      </c>
      <c r="C28" s="83" t="str">
        <f>WBS!F28</f>
        <v>QA-01, QA-02</v>
      </c>
      <c r="D28" s="84">
        <f>WBS!J28</f>
        <v>46206</v>
      </c>
      <c r="E28" s="84">
        <f>WBS!K28</f>
        <v>46210</v>
      </c>
      <c r="F28" s="85">
        <v>4</v>
      </c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</row>
    <row r="29" spans="1:30" ht="15" customHeight="1">
      <c r="A29" s="49" t="str">
        <f>WBS!A29</f>
        <v>5.1</v>
      </c>
      <c r="B29" s="77" t="str">
        <f>WBS!C29</f>
        <v>FR-69 빠른 선택 일지</v>
      </c>
      <c r="C29" s="78" t="str">
        <f>WBS!F29</f>
        <v>FE-02, BE-02</v>
      </c>
      <c r="D29" s="79">
        <f>WBS!J29</f>
        <v>46195</v>
      </c>
      <c r="E29" s="79">
        <f>WBS!K29</f>
        <v>46199</v>
      </c>
      <c r="F29" s="80">
        <v>5</v>
      </c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</row>
    <row r="30" spans="1:30" ht="15" customHeight="1">
      <c r="A30" s="49" t="str">
        <f>WBS!A30</f>
        <v>5.2</v>
      </c>
      <c r="B30" s="82" t="str">
        <f>WBS!C30</f>
        <v>체크리스트 입력</v>
      </c>
      <c r="C30" s="83" t="str">
        <f>WBS!F30</f>
        <v>FE-02, BE-03</v>
      </c>
      <c r="D30" s="84">
        <f>WBS!J30</f>
        <v>46202</v>
      </c>
      <c r="E30" s="84">
        <f>WBS!K30</f>
        <v>46206</v>
      </c>
      <c r="F30" s="85">
        <v>5</v>
      </c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</row>
    <row r="31" spans="1:30" ht="15" customHeight="1">
      <c r="A31" s="49" t="str">
        <f>WBS!A31</f>
        <v>5.3</v>
      </c>
      <c r="B31" s="77" t="str">
        <f>WBS!C31</f>
        <v>사진+태그 입력</v>
      </c>
      <c r="C31" s="78" t="str">
        <f>WBS!F31</f>
        <v>FE-03, BE-03</v>
      </c>
      <c r="D31" s="79">
        <f>WBS!J31</f>
        <v>46202</v>
      </c>
      <c r="E31" s="79">
        <f>WBS!K31</f>
        <v>46205</v>
      </c>
      <c r="F31" s="80">
        <v>5</v>
      </c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</row>
    <row r="32" spans="1:30" ht="15" customHeight="1">
      <c r="A32" s="49" t="str">
        <f>WBS!A32</f>
        <v>5.4</v>
      </c>
      <c r="B32" s="82" t="str">
        <f>WBS!C32</f>
        <v>텍스트+OS 음성 안내</v>
      </c>
      <c r="C32" s="83" t="str">
        <f>WBS!F32</f>
        <v>FE-03, UX-02</v>
      </c>
      <c r="D32" s="84">
        <f>WBS!J32</f>
        <v>46202</v>
      </c>
      <c r="E32" s="84">
        <f>WBS!K32</f>
        <v>46203</v>
      </c>
      <c r="F32" s="85">
        <v>5</v>
      </c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</row>
    <row r="33" spans="1:30" ht="15" customHeight="1">
      <c r="A33" s="49" t="str">
        <f>WBS!A33</f>
        <v>5.5</v>
      </c>
      <c r="B33" s="77" t="str">
        <f>WBS!C33</f>
        <v>통합 타임라인</v>
      </c>
      <c r="C33" s="78" t="str">
        <f>WBS!F33</f>
        <v>FE-01, BE-02</v>
      </c>
      <c r="D33" s="79">
        <f>WBS!J33</f>
        <v>46202</v>
      </c>
      <c r="E33" s="79">
        <f>WBS!K33</f>
        <v>46206</v>
      </c>
      <c r="F33" s="80">
        <v>5</v>
      </c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</row>
    <row r="34" spans="1:30" ht="15" customHeight="1">
      <c r="A34" s="49" t="str">
        <f>WBS!A34</f>
        <v>5.6</v>
      </c>
      <c r="B34" s="82" t="str">
        <f>WBS!C34</f>
        <v>기록 카테고리 검증</v>
      </c>
      <c r="C34" s="83" t="str">
        <f>WBS!F34</f>
        <v>QA-02, PL-01</v>
      </c>
      <c r="D34" s="84">
        <f>WBS!J34</f>
        <v>46209</v>
      </c>
      <c r="E34" s="84">
        <f>WBS!K34</f>
        <v>46211</v>
      </c>
      <c r="F34" s="85">
        <v>5</v>
      </c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</row>
    <row r="35" spans="1:30" ht="15" customHeight="1">
      <c r="A35" s="52" t="str">
        <f>WBS!A35</f>
        <v>6.1</v>
      </c>
      <c r="B35" s="77" t="str">
        <f>WBS!C35</f>
        <v>당사자 모드 셸</v>
      </c>
      <c r="C35" s="78" t="str">
        <f>WBS!F35</f>
        <v>FE-01, UX-01</v>
      </c>
      <c r="D35" s="79">
        <f>WBS!J35</f>
        <v>46216</v>
      </c>
      <c r="E35" s="79">
        <f>WBS!K35</f>
        <v>46220</v>
      </c>
      <c r="F35" s="80">
        <v>6</v>
      </c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</row>
    <row r="36" spans="1:30" ht="15" customHeight="1">
      <c r="A36" s="52" t="str">
        <f>WBS!A36</f>
        <v>6.2</v>
      </c>
      <c r="B36" s="82" t="str">
        <f>WBS!C36</f>
        <v>AAC 동의 UI</v>
      </c>
      <c r="C36" s="83" t="str">
        <f>WBS!F36</f>
        <v>FE-02, BE-02</v>
      </c>
      <c r="D36" s="84">
        <f>WBS!J36</f>
        <v>46223</v>
      </c>
      <c r="E36" s="84">
        <f>WBS!K36</f>
        <v>46227</v>
      </c>
      <c r="F36" s="85">
        <v>6</v>
      </c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</row>
    <row r="37" spans="1:30" ht="15" customHeight="1">
      <c r="A37" s="52" t="str">
        <f>WBS!A37</f>
        <v>6.3</v>
      </c>
      <c r="B37" s="77" t="str">
        <f>WBS!C37</f>
        <v>권한 부여/회수</v>
      </c>
      <c r="C37" s="78" t="str">
        <f>WBS!F37</f>
        <v>FE-02, BE-01</v>
      </c>
      <c r="D37" s="79">
        <f>WBS!J37</f>
        <v>46216</v>
      </c>
      <c r="E37" s="79">
        <f>WBS!K37</f>
        <v>46220</v>
      </c>
      <c r="F37" s="80">
        <v>6</v>
      </c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</row>
    <row r="38" spans="1:30" ht="15" customHeight="1">
      <c r="A38" s="52" t="str">
        <f>WBS!A38</f>
        <v>6.4</v>
      </c>
      <c r="B38" s="82" t="str">
        <f>WBS!C38</f>
        <v>3분 인계서 생성</v>
      </c>
      <c r="C38" s="83" t="str">
        <f>WBS!F38</f>
        <v>BE-03, FE-03</v>
      </c>
      <c r="D38" s="84">
        <f>WBS!J38</f>
        <v>46216</v>
      </c>
      <c r="E38" s="84">
        <f>WBS!K38</f>
        <v>46220</v>
      </c>
      <c r="F38" s="85">
        <v>6</v>
      </c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</row>
    <row r="39" spans="1:30" ht="15" customHeight="1">
      <c r="A39" s="52" t="str">
        <f>WBS!A39</f>
        <v>6.5</v>
      </c>
      <c r="B39" s="77" t="str">
        <f>WBS!C39</f>
        <v>인계서 PDF</v>
      </c>
      <c r="C39" s="78" t="str">
        <f>WBS!F39</f>
        <v>BE-03, FE-01</v>
      </c>
      <c r="D39" s="79">
        <f>WBS!J39</f>
        <v>46223</v>
      </c>
      <c r="E39" s="79">
        <f>WBS!K39</f>
        <v>46226</v>
      </c>
      <c r="F39" s="80">
        <v>6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</row>
    <row r="40" spans="1:30" ht="15" customHeight="1">
      <c r="A40" s="52" t="str">
        <f>WBS!A40</f>
        <v>6.6</v>
      </c>
      <c r="B40" s="82" t="str">
        <f>WBS!C40</f>
        <v>권한 120셀 테스트</v>
      </c>
      <c r="C40" s="83" t="str">
        <f>WBS!F40</f>
        <v>QA-01, BE-01</v>
      </c>
      <c r="D40" s="84">
        <f>WBS!J40</f>
        <v>46223</v>
      </c>
      <c r="E40" s="84">
        <f>WBS!K40</f>
        <v>46226</v>
      </c>
      <c r="F40" s="85">
        <v>6</v>
      </c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</row>
    <row r="41" spans="1:30" ht="15" customHeight="1">
      <c r="A41" s="55" t="str">
        <f>WBS!A41</f>
        <v>7.1</v>
      </c>
      <c r="B41" s="77" t="str">
        <f>WBS!C41</f>
        <v>K-DST 화면/API</v>
      </c>
      <c r="C41" s="78" t="str">
        <f>WBS!F41</f>
        <v>FE-02, BE-03</v>
      </c>
      <c r="D41" s="79">
        <f>WBS!J41</f>
        <v>46237</v>
      </c>
      <c r="E41" s="79">
        <f>WBS!K41</f>
        <v>46241</v>
      </c>
      <c r="F41" s="80">
        <v>7</v>
      </c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</row>
    <row r="42" spans="1:30" ht="15" customHeight="1">
      <c r="A42" s="55" t="str">
        <f>WBS!A42</f>
        <v>7.2</v>
      </c>
      <c r="B42" s="82" t="str">
        <f>WBS!C42</f>
        <v>M-CHAT-R 화면/API</v>
      </c>
      <c r="C42" s="83" t="str">
        <f>WBS!F42</f>
        <v>FE-03, BE-03</v>
      </c>
      <c r="D42" s="84">
        <f>WBS!J42</f>
        <v>46244</v>
      </c>
      <c r="E42" s="84">
        <f>WBS!K42</f>
        <v>46247</v>
      </c>
      <c r="F42" s="85">
        <v>7</v>
      </c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</row>
    <row r="43" spans="1:30" ht="15" customHeight="1">
      <c r="A43" s="55" t="str">
        <f>WBS!A43</f>
        <v>7.3</v>
      </c>
      <c r="B43" s="77" t="str">
        <f>WBS!C43</f>
        <v>FR-68 자동 적용</v>
      </c>
      <c r="C43" s="78" t="str">
        <f>WBS!F43</f>
        <v>SEC-01, FE-01, AI-01</v>
      </c>
      <c r="D43" s="79">
        <f>WBS!J43</f>
        <v>46244</v>
      </c>
      <c r="E43" s="79">
        <f>WBS!K43</f>
        <v>46248</v>
      </c>
      <c r="F43" s="80">
        <v>7</v>
      </c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</row>
    <row r="44" spans="1:30" ht="15" customHeight="1">
      <c r="A44" s="55" t="str">
        <f>WBS!A44</f>
        <v>7.4</v>
      </c>
      <c r="B44" s="82" t="str">
        <f>WBS!C44</f>
        <v>AI 추이 분석 기반</v>
      </c>
      <c r="C44" s="83" t="str">
        <f>WBS!F44</f>
        <v>AI-01, BE-03</v>
      </c>
      <c r="D44" s="84">
        <f>WBS!J44</f>
        <v>46244</v>
      </c>
      <c r="E44" s="84">
        <f>WBS!K44</f>
        <v>46248</v>
      </c>
      <c r="F44" s="85">
        <v>7</v>
      </c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</row>
    <row r="45" spans="1:30" ht="15" customHeight="1">
      <c r="A45" s="55" t="str">
        <f>WBS!A45</f>
        <v>7.5</v>
      </c>
      <c r="B45" s="77" t="str">
        <f>WBS!C45</f>
        <v>오프라인 큐</v>
      </c>
      <c r="C45" s="78" t="str">
        <f>WBS!F45</f>
        <v>FE-01, BE-02</v>
      </c>
      <c r="D45" s="79">
        <f>WBS!J45</f>
        <v>46237</v>
      </c>
      <c r="E45" s="79">
        <f>WBS!K45</f>
        <v>46241</v>
      </c>
      <c r="F45" s="80">
        <v>7</v>
      </c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</row>
    <row r="46" spans="1:30" ht="15" customHeight="1">
      <c r="A46" s="55" t="str">
        <f>WBS!A46</f>
        <v>7.6</v>
      </c>
      <c r="B46" s="82" t="str">
        <f>WBS!C46</f>
        <v>FR-71 후견인 얼굴 인증 PoC</v>
      </c>
      <c r="C46" s="83" t="str">
        <f>WBS!F46</f>
        <v>SEC-01, AI-01, BE-01</v>
      </c>
      <c r="D46" s="84">
        <f>WBS!J46</f>
        <v>46237</v>
      </c>
      <c r="E46" s="84">
        <f>WBS!K46</f>
        <v>46241</v>
      </c>
      <c r="F46" s="85">
        <v>7</v>
      </c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</row>
    <row r="47" spans="1:30" ht="15" customHeight="1">
      <c r="A47" s="58" t="str">
        <f>WBS!A47</f>
        <v>8.1</v>
      </c>
      <c r="B47" s="77" t="str">
        <f>WBS!C47</f>
        <v>U6 일반교사 대시보드</v>
      </c>
      <c r="C47" s="78" t="str">
        <f>WBS!F47</f>
        <v>FE-03, FE-02</v>
      </c>
      <c r="D47" s="79">
        <f>WBS!J47</f>
        <v>46258</v>
      </c>
      <c r="E47" s="79">
        <f>WBS!K47</f>
        <v>46261</v>
      </c>
      <c r="F47" s="80">
        <v>8</v>
      </c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</row>
    <row r="48" spans="1:30" ht="15" customHeight="1">
      <c r="A48" s="58" t="str">
        <f>WBS!A48</f>
        <v>8.2</v>
      </c>
      <c r="B48" s="82" t="str">
        <f>WBS!C48</f>
        <v>U6 짧은 메모</v>
      </c>
      <c r="C48" s="83" t="str">
        <f>WBS!F48</f>
        <v>FE-02, BE-02</v>
      </c>
      <c r="D48" s="84">
        <f>WBS!J48</f>
        <v>46262</v>
      </c>
      <c r="E48" s="84">
        <f>WBS!K48</f>
        <v>46267</v>
      </c>
      <c r="F48" s="85">
        <v>8</v>
      </c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</row>
    <row r="49" spans="1:30" ht="15" customHeight="1">
      <c r="A49" s="58" t="str">
        <f>WBS!A49</f>
        <v>8.3</v>
      </c>
      <c r="B49" s="77" t="str">
        <f>WBS!C49</f>
        <v>알림 시스템</v>
      </c>
      <c r="C49" s="78" t="str">
        <f>WBS!F49</f>
        <v>BE-03, FE-03</v>
      </c>
      <c r="D49" s="79">
        <f>WBS!J49</f>
        <v>46258</v>
      </c>
      <c r="E49" s="79">
        <f>WBS!K49</f>
        <v>46262</v>
      </c>
      <c r="F49" s="80">
        <v>8</v>
      </c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</row>
    <row r="50" spans="1:30" ht="15" customHeight="1">
      <c r="A50" s="58" t="str">
        <f>WBS!A50</f>
        <v>8.4</v>
      </c>
      <c r="B50" s="82" t="str">
        <f>WBS!C50</f>
        <v>접근성 점검</v>
      </c>
      <c r="C50" s="83" t="str">
        <f>WBS!F50</f>
        <v>ACC-01, QA-02, UX-01</v>
      </c>
      <c r="D50" s="84">
        <f>WBS!J50</f>
        <v>46262</v>
      </c>
      <c r="E50" s="84">
        <f>WBS!K50</f>
        <v>46268</v>
      </c>
      <c r="F50" s="85">
        <v>8</v>
      </c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</row>
    <row r="51" spans="1:30" ht="15" customHeight="1">
      <c r="A51" s="58" t="str">
        <f>WBS!A51</f>
        <v>8.5</v>
      </c>
      <c r="B51" s="77" t="str">
        <f>WBS!C51</f>
        <v>모바일 반응형 검증</v>
      </c>
      <c r="C51" s="78" t="str">
        <f>WBS!F51</f>
        <v>QA-02, FE-01</v>
      </c>
      <c r="D51" s="79">
        <f>WBS!J51</f>
        <v>46269</v>
      </c>
      <c r="E51" s="79">
        <f>WBS!K51</f>
        <v>46274</v>
      </c>
      <c r="F51" s="80">
        <v>8</v>
      </c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</row>
    <row r="52" spans="1:30" ht="15" customHeight="1">
      <c r="A52" s="58" t="str">
        <f>WBS!A52</f>
        <v>8.6</v>
      </c>
      <c r="B52" s="82" t="str">
        <f>WBS!C52</f>
        <v>LLM 가드레일 회귀</v>
      </c>
      <c r="C52" s="83" t="str">
        <f>WBS!F52</f>
        <v>AI-01, QA-01, SEC-01</v>
      </c>
      <c r="D52" s="84">
        <f>WBS!J52</f>
        <v>46258</v>
      </c>
      <c r="E52" s="84">
        <f>WBS!K52</f>
        <v>46260</v>
      </c>
      <c r="F52" s="85">
        <v>8</v>
      </c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</row>
    <row r="53" spans="1:30" ht="15" customHeight="1">
      <c r="A53" s="61" t="str">
        <f>WBS!A53</f>
        <v>9.1</v>
      </c>
      <c r="B53" s="77" t="str">
        <f>WBS!C53</f>
        <v>통합 E2E 테스트</v>
      </c>
      <c r="C53" s="78" t="str">
        <f>WBS!F53</f>
        <v>QA-01, QA-02</v>
      </c>
      <c r="D53" s="79">
        <f>WBS!J53</f>
        <v>46272</v>
      </c>
      <c r="E53" s="79">
        <f>WBS!K53</f>
        <v>46276</v>
      </c>
      <c r="F53" s="80">
        <v>9</v>
      </c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</row>
    <row r="54" spans="1:30" ht="15" customHeight="1">
      <c r="A54" s="61" t="str">
        <f>WBS!A54</f>
        <v>9.2</v>
      </c>
      <c r="B54" s="82" t="str">
        <f>WBS!C54</f>
        <v>침투 테스트 1차</v>
      </c>
      <c r="C54" s="83" t="str">
        <f>WBS!F54</f>
        <v>SEC-01, 외부보안</v>
      </c>
      <c r="D54" s="84">
        <f>WBS!J54</f>
        <v>46279</v>
      </c>
      <c r="E54" s="84">
        <f>WBS!K54</f>
        <v>46282</v>
      </c>
      <c r="F54" s="85">
        <v>9</v>
      </c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</row>
    <row r="55" spans="1:30" ht="15" customHeight="1">
      <c r="A55" s="61" t="str">
        <f>WBS!A55</f>
        <v>9.3</v>
      </c>
      <c r="B55" s="77" t="str">
        <f>WBS!C55</f>
        <v>성능·부하 테스트</v>
      </c>
      <c r="C55" s="78" t="str">
        <f>WBS!F55</f>
        <v>DEVOPS-01, QA-01</v>
      </c>
      <c r="D55" s="79">
        <f>WBS!J55</f>
        <v>46279</v>
      </c>
      <c r="E55" s="79">
        <f>WBS!K55</f>
        <v>46281</v>
      </c>
      <c r="F55" s="80">
        <v>9</v>
      </c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</row>
    <row r="56" spans="1:30" ht="15" customHeight="1">
      <c r="A56" s="61" t="str">
        <f>WBS!A56</f>
        <v>9.4</v>
      </c>
      <c r="B56" s="82" t="str">
        <f>WBS!C56</f>
        <v>운영 모니터링</v>
      </c>
      <c r="C56" s="83" t="str">
        <f>WBS!F56</f>
        <v>DEVOPS-01</v>
      </c>
      <c r="D56" s="84">
        <f>WBS!J56</f>
        <v>46279</v>
      </c>
      <c r="E56" s="84">
        <f>WBS!K56</f>
        <v>46281</v>
      </c>
      <c r="F56" s="85">
        <v>9</v>
      </c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</row>
    <row r="57" spans="1:30" ht="15" customHeight="1">
      <c r="A57" s="61" t="str">
        <f>WBS!A57</f>
        <v>9.5</v>
      </c>
      <c r="B57" s="77" t="str">
        <f>WBS!C57</f>
        <v>시범 운영 온보딩</v>
      </c>
      <c r="C57" s="78" t="str">
        <f>WBS!F57</f>
        <v>BIZ-01, PM-01</v>
      </c>
      <c r="D57" s="79">
        <f>WBS!J57</f>
        <v>46279</v>
      </c>
      <c r="E57" s="79">
        <f>WBS!K57</f>
        <v>46283</v>
      </c>
      <c r="F57" s="80">
        <v>9</v>
      </c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</row>
    <row r="58" spans="1:30" ht="15" customHeight="1">
      <c r="A58" s="61" t="str">
        <f>WBS!A58</f>
        <v>9.6</v>
      </c>
      <c r="B58" s="82" t="str">
        <f>WBS!C58</f>
        <v>Beta Go/No-Go</v>
      </c>
      <c r="C58" s="83" t="str">
        <f>WBS!F58</f>
        <v>PM-01, SEC-01, QA-01</v>
      </c>
      <c r="D58" s="84">
        <f>WBS!J58</f>
        <v>46286</v>
      </c>
      <c r="E58" s="84">
        <f>WBS!K58</f>
        <v>46286</v>
      </c>
      <c r="F58" s="85">
        <v>9</v>
      </c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</row>
    <row r="59" spans="1:30" ht="15" customHeight="1">
      <c r="A59" s="64" t="str">
        <f>WBS!A59</f>
        <v>10.1</v>
      </c>
      <c r="B59" s="77" t="str">
        <f>WBS!C59</f>
        <v>Beta 운영</v>
      </c>
      <c r="C59" s="78" t="str">
        <f>WBS!F59</f>
        <v>PM-01, DEVOPS-01, FE/BE</v>
      </c>
      <c r="D59" s="79">
        <f>WBS!J59</f>
        <v>46286</v>
      </c>
      <c r="E59" s="79">
        <f>WBS!K59</f>
        <v>46311</v>
      </c>
      <c r="F59" s="80">
        <v>10</v>
      </c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</row>
    <row r="60" spans="1:30" ht="15" customHeight="1">
      <c r="A60" s="64" t="str">
        <f>WBS!A60</f>
        <v>10.2</v>
      </c>
      <c r="B60" s="82" t="str">
        <f>WBS!C60</f>
        <v>KPI 측정</v>
      </c>
      <c r="C60" s="83" t="str">
        <f>WBS!F60</f>
        <v>PM-01, QA-01</v>
      </c>
      <c r="D60" s="84">
        <f>WBS!J60</f>
        <v>46314</v>
      </c>
      <c r="E60" s="84">
        <f>WBS!K60</f>
        <v>46318</v>
      </c>
      <c r="F60" s="85">
        <v>10</v>
      </c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</row>
    <row r="61" spans="1:30" ht="15" customHeight="1">
      <c r="A61" s="64" t="str">
        <f>WBS!A61</f>
        <v>10.3</v>
      </c>
      <c r="B61" s="77" t="str">
        <f>WBS!C61</f>
        <v>리빙랩 회고</v>
      </c>
      <c r="C61" s="78" t="str">
        <f>WBS!F61</f>
        <v>PL-01, UX-01, BIZ-01</v>
      </c>
      <c r="D61" s="79">
        <f>WBS!J61</f>
        <v>46314</v>
      </c>
      <c r="E61" s="79">
        <f>WBS!K61</f>
        <v>46318</v>
      </c>
      <c r="F61" s="80">
        <v>10</v>
      </c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</row>
    <row r="62" spans="1:30" ht="15" customHeight="1">
      <c r="A62" s="64" t="str">
        <f>WBS!A62</f>
        <v>10.4</v>
      </c>
      <c r="B62" s="82" t="str">
        <f>WBS!C62</f>
        <v>개선 백로그</v>
      </c>
      <c r="C62" s="83" t="str">
        <f>WBS!F62</f>
        <v>PM-01, 각 Lead</v>
      </c>
      <c r="D62" s="84">
        <f>WBS!J62</f>
        <v>46321</v>
      </c>
      <c r="E62" s="84">
        <f>WBS!K62</f>
        <v>46323</v>
      </c>
      <c r="F62" s="85">
        <v>10</v>
      </c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</row>
    <row r="63" spans="1:30" ht="15" customHeight="1">
      <c r="A63" s="64" t="str">
        <f>WBS!A63</f>
        <v>10.5</v>
      </c>
      <c r="B63" s="77" t="str">
        <f>WBS!C63</f>
        <v>MVP Beta 종료 보고</v>
      </c>
      <c r="C63" s="78" t="str">
        <f>WBS!F63</f>
        <v>PM-01</v>
      </c>
      <c r="D63" s="79">
        <f>WBS!J63</f>
        <v>46324</v>
      </c>
      <c r="E63" s="79">
        <f>WBS!K63</f>
        <v>46328</v>
      </c>
      <c r="F63" s="80">
        <v>10</v>
      </c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</row>
    <row r="65" spans="1:30" ht="15" customHeight="1">
      <c r="A65" s="4" t="s">
        <v>492</v>
      </c>
      <c r="B65" s="4"/>
      <c r="C65" s="4"/>
      <c r="D65" s="4"/>
      <c r="E65" s="4"/>
      <c r="F65" s="4"/>
      <c r="G65" s="87" t="s">
        <v>493</v>
      </c>
      <c r="H65" s="81"/>
      <c r="I65" s="87" t="s">
        <v>494</v>
      </c>
      <c r="J65" s="81"/>
      <c r="K65" s="81"/>
      <c r="L65" s="87" t="s">
        <v>495</v>
      </c>
      <c r="M65" s="81"/>
      <c r="N65" s="81"/>
      <c r="O65" s="87" t="s">
        <v>496</v>
      </c>
      <c r="P65" s="81"/>
      <c r="Q65" s="81"/>
      <c r="R65" s="87" t="s">
        <v>497</v>
      </c>
      <c r="S65" s="81"/>
      <c r="T65" s="87" t="s">
        <v>498</v>
      </c>
      <c r="U65" s="81"/>
      <c r="V65" s="87" t="s">
        <v>499</v>
      </c>
      <c r="W65" s="81"/>
      <c r="X65" s="81"/>
      <c r="Y65" s="81"/>
      <c r="Z65" s="87" t="s">
        <v>500</v>
      </c>
      <c r="AA65" s="81"/>
      <c r="AB65" s="81"/>
      <c r="AC65" s="81"/>
      <c r="AD65" s="81"/>
    </row>
    <row r="67" spans="1:30" ht="15" customHeight="1">
      <c r="A67" s="3" t="s">
        <v>501</v>
      </c>
      <c r="B67" s="3"/>
      <c r="C67" s="27" t="s">
        <v>502</v>
      </c>
      <c r="D67" s="40" t="s">
        <v>503</v>
      </c>
      <c r="E67" s="43" t="s">
        <v>504</v>
      </c>
      <c r="F67" s="46" t="s">
        <v>505</v>
      </c>
      <c r="G67" s="49" t="s">
        <v>506</v>
      </c>
      <c r="H67" s="52" t="s">
        <v>507</v>
      </c>
      <c r="I67" s="55" t="s">
        <v>508</v>
      </c>
      <c r="J67" s="58" t="s">
        <v>509</v>
      </c>
      <c r="K67" s="61" t="s">
        <v>510</v>
      </c>
      <c r="L67" s="64" t="s">
        <v>511</v>
      </c>
    </row>
  </sheetData>
  <mergeCells count="5">
    <mergeCell ref="A1:AD1"/>
    <mergeCell ref="C2:AD2"/>
    <mergeCell ref="A4:E4"/>
    <mergeCell ref="A65:F65"/>
    <mergeCell ref="A67:B67"/>
  </mergeCells>
  <phoneticPr fontId="49" type="noConversion"/>
  <conditionalFormatting sqref="G5:AD63">
    <cfRule type="expression" dxfId="9" priority="2">
      <formula>AND($F5=1,G$4+6&gt;=$D5,G$4&lt;=$E5)</formula>
    </cfRule>
    <cfRule type="expression" dxfId="8" priority="3">
      <formula>AND($F5=2,G$4+6&gt;=$D5,G$4&lt;=$E5)</formula>
    </cfRule>
    <cfRule type="expression" dxfId="7" priority="4">
      <formula>AND($F5=3,G$4+6&gt;=$D5,G$4&lt;=$E5)</formula>
    </cfRule>
    <cfRule type="expression" dxfId="6" priority="5">
      <formula>AND($F5=4,G$4+6&gt;=$D5,G$4&lt;=$E5)</formula>
    </cfRule>
    <cfRule type="expression" dxfId="5" priority="6">
      <formula>AND($F5=5,G$4+6&gt;=$D5,G$4&lt;=$E5)</formula>
    </cfRule>
    <cfRule type="expression" dxfId="4" priority="7">
      <formula>AND($F5=6,G$4+6&gt;=$D5,G$4&lt;=$E5)</formula>
    </cfRule>
    <cfRule type="expression" dxfId="3" priority="8">
      <formula>AND($F5=7,G$4+6&gt;=$D5,G$4&lt;=$E5)</formula>
    </cfRule>
    <cfRule type="expression" dxfId="2" priority="9">
      <formula>AND($F5=8,G$4+6&gt;=$D5,G$4&lt;=$E5)</formula>
    </cfRule>
    <cfRule type="expression" dxfId="1" priority="10">
      <formula>AND($F5=9,G$4+6&gt;=$D5,G$4&lt;=$E5)</formula>
    </cfRule>
    <cfRule type="expression" dxfId="0" priority="11">
      <formula>AND($F5=10,G$4+6&gt;=$D5,G$4&lt;=$E5)</formula>
    </cfRule>
  </conditionalFormatting>
  <pageMargins left="0.75" right="0.75" top="1" bottom="1" header="0.511811023622047" footer="0.511811023622047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47"/>
  <sheetViews>
    <sheetView showGridLines="0" zoomScaleNormal="100" workbookViewId="0">
      <selection activeCell="F20" sqref="F20"/>
    </sheetView>
  </sheetViews>
  <sheetFormatPr defaultColWidth="8.6640625" defaultRowHeight="14.4"/>
  <cols>
    <col min="2" max="3" width="30" customWidth="1"/>
    <col min="4" max="4" width="16" bestFit="1" customWidth="1"/>
    <col min="5" max="5" width="32.88671875" customWidth="1"/>
  </cols>
  <sheetData>
    <row r="2" spans="2:5">
      <c r="B2" s="2" t="s">
        <v>492</v>
      </c>
      <c r="C2" s="2"/>
      <c r="D2" s="2"/>
      <c r="E2" s="2"/>
    </row>
    <row r="3" spans="2:5">
      <c r="B3" s="88" t="s">
        <v>86</v>
      </c>
      <c r="C3" s="88" t="s">
        <v>492</v>
      </c>
      <c r="D3" s="88" t="s">
        <v>512</v>
      </c>
      <c r="E3" s="88" t="s">
        <v>513</v>
      </c>
    </row>
    <row r="4" spans="2:5">
      <c r="B4" s="21" t="s">
        <v>493</v>
      </c>
      <c r="C4" s="17" t="s">
        <v>514</v>
      </c>
      <c r="D4" s="21" t="s">
        <v>467</v>
      </c>
      <c r="E4" s="14" t="s">
        <v>515</v>
      </c>
    </row>
    <row r="5" spans="2:5">
      <c r="B5" s="19" t="s">
        <v>494</v>
      </c>
      <c r="C5" s="16" t="s">
        <v>516</v>
      </c>
      <c r="D5" s="19" t="s">
        <v>469</v>
      </c>
      <c r="E5" s="16" t="s">
        <v>517</v>
      </c>
    </row>
    <row r="6" spans="2:5">
      <c r="B6" s="21" t="s">
        <v>495</v>
      </c>
      <c r="C6" s="17" t="s">
        <v>518</v>
      </c>
      <c r="D6" s="21" t="s">
        <v>472</v>
      </c>
      <c r="E6" s="14" t="s">
        <v>519</v>
      </c>
    </row>
    <row r="7" spans="2:5">
      <c r="B7" s="19" t="s">
        <v>496</v>
      </c>
      <c r="C7" s="16" t="s">
        <v>520</v>
      </c>
      <c r="D7" s="19" t="s">
        <v>475</v>
      </c>
      <c r="E7" s="16" t="s">
        <v>521</v>
      </c>
    </row>
    <row r="8" spans="2:5">
      <c r="B8" s="21" t="s">
        <v>497</v>
      </c>
      <c r="C8" s="17" t="s">
        <v>522</v>
      </c>
      <c r="D8" s="21" t="s">
        <v>478</v>
      </c>
      <c r="E8" s="17" t="s">
        <v>523</v>
      </c>
    </row>
    <row r="9" spans="2:5">
      <c r="B9" s="19" t="s">
        <v>498</v>
      </c>
      <c r="C9" s="16" t="s">
        <v>524</v>
      </c>
      <c r="D9" s="19" t="s">
        <v>480</v>
      </c>
      <c r="E9" s="15" t="s">
        <v>525</v>
      </c>
    </row>
    <row r="10" spans="2:5">
      <c r="B10" s="21" t="s">
        <v>499</v>
      </c>
      <c r="C10" s="17" t="s">
        <v>433</v>
      </c>
      <c r="D10" s="21" t="s">
        <v>482</v>
      </c>
      <c r="E10" s="14" t="s">
        <v>526</v>
      </c>
    </row>
    <row r="11" spans="2:5">
      <c r="B11" s="19" t="s">
        <v>500</v>
      </c>
      <c r="C11" s="16" t="s">
        <v>527</v>
      </c>
      <c r="D11" s="19" t="s">
        <v>486</v>
      </c>
      <c r="E11" s="16" t="s">
        <v>528</v>
      </c>
    </row>
    <row r="13" spans="2:5" ht="17.399999999999999">
      <c r="B13" s="1" t="s">
        <v>529</v>
      </c>
      <c r="C13" s="1"/>
      <c r="D13" s="1"/>
    </row>
    <row r="14" spans="2:5">
      <c r="B14" s="89" t="s">
        <v>530</v>
      </c>
      <c r="C14" s="88" t="s">
        <v>531</v>
      </c>
      <c r="D14" s="88" t="s">
        <v>532</v>
      </c>
    </row>
    <row r="15" spans="2:5">
      <c r="B15" s="17" t="s">
        <v>533</v>
      </c>
      <c r="C15" s="17" t="s">
        <v>534</v>
      </c>
      <c r="D15" s="21" t="s">
        <v>123</v>
      </c>
    </row>
    <row r="16" spans="2:5">
      <c r="B16" s="16" t="s">
        <v>535</v>
      </c>
      <c r="C16" s="16" t="s">
        <v>536</v>
      </c>
      <c r="D16" s="19" t="s">
        <v>120</v>
      </c>
    </row>
    <row r="17" spans="2:4">
      <c r="B17" s="17" t="s">
        <v>537</v>
      </c>
      <c r="C17" s="17" t="s">
        <v>290</v>
      </c>
      <c r="D17" s="21" t="s">
        <v>112</v>
      </c>
    </row>
    <row r="18" spans="2:4">
      <c r="B18" s="16" t="s">
        <v>538</v>
      </c>
      <c r="C18" s="16" t="s">
        <v>300</v>
      </c>
      <c r="D18" s="19" t="s">
        <v>126</v>
      </c>
    </row>
    <row r="19" spans="2:4">
      <c r="B19" s="17" t="s">
        <v>539</v>
      </c>
      <c r="C19" s="17" t="s">
        <v>311</v>
      </c>
      <c r="D19" s="21" t="s">
        <v>109</v>
      </c>
    </row>
    <row r="20" spans="2:4">
      <c r="B20" s="16" t="s">
        <v>540</v>
      </c>
      <c r="C20" s="16" t="s">
        <v>541</v>
      </c>
      <c r="D20" s="19" t="s">
        <v>126</v>
      </c>
    </row>
    <row r="21" spans="2:4">
      <c r="B21" s="17" t="s">
        <v>542</v>
      </c>
      <c r="C21" s="17" t="s">
        <v>543</v>
      </c>
      <c r="D21" s="21" t="s">
        <v>100</v>
      </c>
    </row>
    <row r="22" spans="2:4">
      <c r="B22" s="16" t="s">
        <v>544</v>
      </c>
      <c r="C22" s="16" t="s">
        <v>545</v>
      </c>
      <c r="D22" s="19" t="s">
        <v>128</v>
      </c>
    </row>
    <row r="23" spans="2:4">
      <c r="B23" s="17" t="s">
        <v>546</v>
      </c>
      <c r="C23" s="17" t="s">
        <v>547</v>
      </c>
      <c r="D23" s="21" t="s">
        <v>148</v>
      </c>
    </row>
    <row r="24" spans="2:4">
      <c r="B24" s="16" t="s">
        <v>548</v>
      </c>
      <c r="C24" s="16" t="s">
        <v>549</v>
      </c>
      <c r="D24" s="19" t="s">
        <v>91</v>
      </c>
    </row>
    <row r="25" spans="2:4">
      <c r="B25" s="17" t="s">
        <v>550</v>
      </c>
      <c r="C25" s="17" t="s">
        <v>370</v>
      </c>
      <c r="D25" s="21" t="s">
        <v>109</v>
      </c>
    </row>
    <row r="26" spans="2:4">
      <c r="B26" s="16" t="s">
        <v>551</v>
      </c>
      <c r="C26" s="16" t="s">
        <v>389</v>
      </c>
      <c r="D26" s="19" t="s">
        <v>126</v>
      </c>
    </row>
    <row r="27" spans="2:4">
      <c r="B27" s="17" t="s">
        <v>552</v>
      </c>
      <c r="C27" s="17" t="s">
        <v>553</v>
      </c>
      <c r="D27" s="21" t="s">
        <v>100</v>
      </c>
    </row>
    <row r="28" spans="2:4">
      <c r="B28" s="16" t="s">
        <v>554</v>
      </c>
      <c r="C28" s="16" t="s">
        <v>555</v>
      </c>
      <c r="D28" s="19" t="s">
        <v>126</v>
      </c>
    </row>
    <row r="29" spans="2:4">
      <c r="B29" s="17" t="s">
        <v>556</v>
      </c>
      <c r="C29" s="17" t="s">
        <v>557</v>
      </c>
      <c r="D29" s="21" t="s">
        <v>134</v>
      </c>
    </row>
    <row r="30" spans="2:4">
      <c r="B30" s="16" t="s">
        <v>558</v>
      </c>
      <c r="C30" s="16" t="s">
        <v>559</v>
      </c>
      <c r="D30" s="19" t="s">
        <v>128</v>
      </c>
    </row>
    <row r="31" spans="2:4">
      <c r="B31" s="17" t="s">
        <v>560</v>
      </c>
      <c r="C31" s="17" t="s">
        <v>561</v>
      </c>
      <c r="D31" s="21" t="s">
        <v>112</v>
      </c>
    </row>
    <row r="32" spans="2:4">
      <c r="B32" s="16" t="s">
        <v>562</v>
      </c>
      <c r="C32" s="16" t="s">
        <v>374</v>
      </c>
      <c r="D32" s="19" t="s">
        <v>128</v>
      </c>
    </row>
    <row r="33" spans="2:4">
      <c r="B33" s="17" t="s">
        <v>563</v>
      </c>
      <c r="C33" s="17" t="s">
        <v>564</v>
      </c>
      <c r="D33" s="21" t="s">
        <v>112</v>
      </c>
    </row>
    <row r="34" spans="2:4">
      <c r="B34" s="16" t="s">
        <v>565</v>
      </c>
      <c r="C34" s="16" t="s">
        <v>418</v>
      </c>
      <c r="D34" s="19" t="s">
        <v>144</v>
      </c>
    </row>
    <row r="35" spans="2:4">
      <c r="B35" s="17" t="s">
        <v>566</v>
      </c>
      <c r="C35" s="17" t="s">
        <v>547</v>
      </c>
      <c r="D35" s="21" t="s">
        <v>148</v>
      </c>
    </row>
    <row r="36" spans="2:4">
      <c r="B36" s="16" t="s">
        <v>567</v>
      </c>
      <c r="C36" s="16" t="s">
        <v>568</v>
      </c>
      <c r="D36" s="19" t="s">
        <v>128</v>
      </c>
    </row>
    <row r="38" spans="2:4">
      <c r="B38" s="2" t="s">
        <v>569</v>
      </c>
      <c r="C38" s="2"/>
      <c r="D38" s="2"/>
    </row>
    <row r="39" spans="2:4">
      <c r="B39" s="88" t="s">
        <v>570</v>
      </c>
      <c r="C39" s="88" t="s">
        <v>571</v>
      </c>
      <c r="D39" s="88" t="s">
        <v>572</v>
      </c>
    </row>
    <row r="40" spans="2:4">
      <c r="B40" s="14" t="s">
        <v>573</v>
      </c>
      <c r="C40" s="14" t="s">
        <v>574</v>
      </c>
      <c r="D40" s="17" t="s">
        <v>575</v>
      </c>
    </row>
    <row r="41" spans="2:4">
      <c r="B41" s="15" t="s">
        <v>576</v>
      </c>
      <c r="C41" s="15" t="s">
        <v>574</v>
      </c>
      <c r="D41" s="16" t="s">
        <v>577</v>
      </c>
    </row>
    <row r="42" spans="2:4">
      <c r="B42" s="14" t="s">
        <v>578</v>
      </c>
      <c r="C42" s="14" t="s">
        <v>579</v>
      </c>
      <c r="D42" s="17" t="s">
        <v>580</v>
      </c>
    </row>
    <row r="43" spans="2:4">
      <c r="B43" s="16" t="s">
        <v>581</v>
      </c>
      <c r="C43" s="15" t="s">
        <v>579</v>
      </c>
      <c r="D43" s="16" t="s">
        <v>568</v>
      </c>
    </row>
    <row r="44" spans="2:4">
      <c r="B44" s="17" t="s">
        <v>582</v>
      </c>
      <c r="C44" s="14" t="s">
        <v>583</v>
      </c>
      <c r="D44" s="17" t="s">
        <v>584</v>
      </c>
    </row>
    <row r="45" spans="2:4">
      <c r="B45" s="16" t="s">
        <v>585</v>
      </c>
      <c r="C45" s="15" t="s">
        <v>586</v>
      </c>
      <c r="D45" s="16" t="s">
        <v>587</v>
      </c>
    </row>
    <row r="46" spans="2:4">
      <c r="B46" s="14" t="s">
        <v>588</v>
      </c>
      <c r="C46" s="14" t="s">
        <v>589</v>
      </c>
      <c r="D46" s="17" t="s">
        <v>590</v>
      </c>
    </row>
    <row r="47" spans="2:4">
      <c r="B47" s="16" t="s">
        <v>591</v>
      </c>
      <c r="C47" s="15" t="s">
        <v>592</v>
      </c>
      <c r="D47" s="16" t="s">
        <v>593</v>
      </c>
    </row>
  </sheetData>
  <mergeCells count="3">
    <mergeCell ref="B2:E2"/>
    <mergeCell ref="B13:D13"/>
    <mergeCell ref="B38:D38"/>
  </mergeCells>
  <phoneticPr fontId="4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개요</vt:lpstr>
      <vt:lpstr>투입인력</vt:lpstr>
      <vt:lpstr>WBS</vt:lpstr>
      <vt:lpstr>간트차트</vt:lpstr>
      <vt:lpstr>마일스톤·추적</vt:lpstr>
      <vt:lpstr>간트차트!Print_Area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Boheni</cp:lastModifiedBy>
  <cp:revision>0</cp:revision>
  <dcterms:created xsi:type="dcterms:W3CDTF">2026-05-26T03:07:52Z</dcterms:created>
  <dcterms:modified xsi:type="dcterms:W3CDTF">2026-05-26T03:57:58Z</dcterms:modified>
  <dc:language>en-US</dc:language>
</cp:coreProperties>
</file>